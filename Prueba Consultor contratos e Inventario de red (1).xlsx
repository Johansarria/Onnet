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netfibracolombiahotmail-my.sharepoint.com/personal/carlos_mejiau_onnetfibra_co/Documents/ONNET/Área/Vacante mayo 2026/"/>
    </mc:Choice>
  </mc:AlternateContent>
  <xr:revisionPtr revIDLastSave="4244" documentId="8_{54E70A45-F38B-45E2-9A97-6CB545222878}" xr6:coauthVersionLast="47" xr6:coauthVersionMax="47" xr10:uidLastSave="{B580BC7E-741B-2047-817D-BE30EFAD3265}"/>
  <bookViews>
    <workbookView xWindow="0" yWindow="600" windowWidth="38400" windowHeight="19900" xr2:uid="{D338DC5F-D801-48DA-8CC7-6FCE33BBB6AA}"/>
  </bookViews>
  <sheets>
    <sheet name="Inventario OTs" sheetId="1" r:id="rId1"/>
    <sheet name="Ots para liquidación" sheetId="6" r:id="rId2"/>
    <sheet name="Precios" sheetId="7" r:id="rId3"/>
  </sheets>
  <externalReferences>
    <externalReference r:id="rId4"/>
    <externalReference r:id="rId5"/>
    <externalReference r:id="rId6"/>
  </externalReferences>
  <definedNames>
    <definedName name="_xlnm._FilterDatabase" localSheetId="0" hidden="1">'Inventario OTs'!$A$1:$AC$323</definedName>
    <definedName name="_xlnm._FilterDatabase" localSheetId="1" hidden="1">'Ots para liquidación'!$A$2:$P$219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4" i="1" l="1"/>
  <c r="AC321" i="1"/>
  <c r="AC320" i="1"/>
  <c r="AC319" i="1"/>
  <c r="AC318" i="1"/>
  <c r="AC317" i="1"/>
  <c r="E320" i="1"/>
  <c r="F320" i="1" s="1"/>
  <c r="E319" i="1"/>
  <c r="F319" i="1" s="1"/>
  <c r="E318" i="1"/>
  <c r="F318" i="1" s="1"/>
  <c r="E317" i="1"/>
  <c r="F317" i="1" s="1"/>
  <c r="H317" i="1" l="1"/>
  <c r="G317" i="1"/>
  <c r="H318" i="1"/>
  <c r="G318" i="1"/>
  <c r="G319" i="1"/>
  <c r="H319" i="1"/>
  <c r="H320" i="1"/>
  <c r="G320" i="1"/>
  <c r="E316" i="1" l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H307" i="1" l="1"/>
  <c r="G307" i="1"/>
  <c r="G308" i="1"/>
  <c r="H308" i="1"/>
  <c r="G309" i="1"/>
  <c r="H309" i="1"/>
  <c r="H310" i="1"/>
  <c r="G310" i="1"/>
  <c r="H311" i="1"/>
  <c r="G311" i="1"/>
  <c r="H312" i="1"/>
  <c r="G312" i="1"/>
  <c r="H313" i="1"/>
  <c r="G313" i="1"/>
  <c r="H314" i="1"/>
  <c r="G314" i="1"/>
  <c r="H315" i="1"/>
  <c r="G315" i="1"/>
  <c r="G316" i="1"/>
  <c r="H316" i="1"/>
  <c r="H302" i="1"/>
  <c r="G302" i="1"/>
  <c r="H303" i="1"/>
  <c r="G303" i="1"/>
  <c r="H304" i="1"/>
  <c r="G304" i="1"/>
  <c r="H305" i="1"/>
  <c r="G305" i="1"/>
  <c r="H306" i="1"/>
  <c r="G306" i="1"/>
  <c r="H295" i="1"/>
  <c r="G295" i="1"/>
  <c r="H296" i="1"/>
  <c r="G296" i="1"/>
  <c r="H297" i="1"/>
  <c r="G297" i="1"/>
  <c r="H298" i="1"/>
  <c r="G298" i="1"/>
  <c r="H299" i="1"/>
  <c r="G299" i="1"/>
  <c r="H300" i="1"/>
  <c r="G300" i="1"/>
  <c r="H301" i="1"/>
  <c r="G301" i="1"/>
  <c r="E294" i="1" l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AC322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H287" i="1" l="1"/>
  <c r="G287" i="1"/>
  <c r="H289" i="1"/>
  <c r="G289" i="1"/>
  <c r="H291" i="1"/>
  <c r="G291" i="1"/>
  <c r="H278" i="1"/>
  <c r="G278" i="1"/>
  <c r="H279" i="1"/>
  <c r="G279" i="1"/>
  <c r="H285" i="1"/>
  <c r="G285" i="1"/>
  <c r="H288" i="1"/>
  <c r="G288" i="1"/>
  <c r="H290" i="1"/>
  <c r="G290" i="1"/>
  <c r="H292" i="1"/>
  <c r="G292" i="1"/>
  <c r="H293" i="1"/>
  <c r="G293" i="1"/>
  <c r="H294" i="1"/>
  <c r="G294" i="1"/>
  <c r="H280" i="1"/>
  <c r="G280" i="1"/>
  <c r="H281" i="1"/>
  <c r="G281" i="1"/>
  <c r="H282" i="1"/>
  <c r="G282" i="1"/>
  <c r="H283" i="1"/>
  <c r="G283" i="1"/>
  <c r="H284" i="1"/>
  <c r="G284" i="1"/>
  <c r="H286" i="1"/>
  <c r="G286" i="1"/>
  <c r="AC270" i="1" l="1"/>
  <c r="E270" i="1"/>
  <c r="F270" i="1" s="1"/>
  <c r="G270" i="1" l="1"/>
  <c r="H270" i="1"/>
  <c r="E277" i="1" l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AC277" i="1"/>
  <c r="AC276" i="1"/>
  <c r="AC275" i="1"/>
  <c r="AC274" i="1"/>
  <c r="AC273" i="1"/>
  <c r="AC272" i="1"/>
  <c r="AC271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F1" i="1"/>
  <c r="G275" i="1" l="1"/>
  <c r="H275" i="1"/>
  <c r="G274" i="1"/>
  <c r="H274" i="1"/>
  <c r="G273" i="1"/>
  <c r="H273" i="1"/>
  <c r="G271" i="1"/>
  <c r="H271" i="1"/>
  <c r="G272" i="1"/>
  <c r="H272" i="1"/>
  <c r="G276" i="1"/>
  <c r="H276" i="1"/>
  <c r="G277" i="1"/>
  <c r="H277" i="1"/>
  <c r="E269" i="1"/>
  <c r="F269" i="1" s="1"/>
  <c r="H269" i="1" s="1"/>
  <c r="G269" i="1" l="1"/>
  <c r="F322" i="1"/>
  <c r="AC323" i="1"/>
  <c r="AC324" i="1" s="1"/>
  <c r="N324" i="1"/>
  <c r="E268" i="1" l="1"/>
  <c r="F268" i="1" s="1"/>
  <c r="H268" i="1" s="1"/>
  <c r="E267" i="1"/>
  <c r="F267" i="1" s="1"/>
  <c r="H267" i="1" s="1"/>
  <c r="E266" i="1"/>
  <c r="F266" i="1" s="1"/>
  <c r="H266" i="1" s="1"/>
  <c r="E265" i="1"/>
  <c r="F265" i="1" s="1"/>
  <c r="H265" i="1" s="1"/>
  <c r="E264" i="1"/>
  <c r="F264" i="1" s="1"/>
  <c r="H264" i="1" s="1"/>
  <c r="E263" i="1"/>
  <c r="F263" i="1" s="1"/>
  <c r="H263" i="1" s="1"/>
  <c r="E262" i="1"/>
  <c r="F262" i="1" s="1"/>
  <c r="H262" i="1" s="1"/>
  <c r="E261" i="1"/>
  <c r="F261" i="1" s="1"/>
  <c r="H261" i="1" s="1"/>
  <c r="E260" i="1"/>
  <c r="F260" i="1" s="1"/>
  <c r="H260" i="1" s="1"/>
  <c r="E259" i="1"/>
  <c r="F259" i="1" s="1"/>
  <c r="H259" i="1" s="1"/>
  <c r="E258" i="1"/>
  <c r="F258" i="1" s="1"/>
  <c r="H258" i="1" s="1"/>
  <c r="E257" i="1"/>
  <c r="F257" i="1" s="1"/>
  <c r="H257" i="1" s="1"/>
  <c r="E256" i="1"/>
  <c r="F256" i="1" s="1"/>
  <c r="H256" i="1" s="1"/>
  <c r="E255" i="1"/>
  <c r="F255" i="1" s="1"/>
  <c r="H255" i="1" s="1"/>
  <c r="E254" i="1"/>
  <c r="F254" i="1" s="1"/>
  <c r="H254" i="1" s="1"/>
  <c r="E253" i="1"/>
  <c r="F253" i="1" s="1"/>
  <c r="H253" i="1" s="1"/>
  <c r="E252" i="1"/>
  <c r="F252" i="1" s="1"/>
  <c r="H252" i="1" s="1"/>
  <c r="E251" i="1"/>
  <c r="F251" i="1" s="1"/>
  <c r="H251" i="1" s="1"/>
  <c r="E250" i="1"/>
  <c r="F250" i="1" s="1"/>
  <c r="H250" i="1" s="1"/>
  <c r="E249" i="1"/>
  <c r="F249" i="1" s="1"/>
  <c r="H249" i="1" s="1"/>
  <c r="E248" i="1"/>
  <c r="F248" i="1" s="1"/>
  <c r="H248" i="1" s="1"/>
  <c r="E247" i="1"/>
  <c r="F247" i="1" s="1"/>
  <c r="H247" i="1" s="1"/>
  <c r="E246" i="1"/>
  <c r="F246" i="1" s="1"/>
  <c r="H246" i="1" s="1"/>
  <c r="E245" i="1"/>
  <c r="F245" i="1" s="1"/>
  <c r="H245" i="1" s="1"/>
  <c r="E244" i="1"/>
  <c r="F244" i="1" s="1"/>
  <c r="H244" i="1" s="1"/>
  <c r="E243" i="1"/>
  <c r="F243" i="1" s="1"/>
  <c r="H243" i="1" s="1"/>
  <c r="E242" i="1"/>
  <c r="F242" i="1" s="1"/>
  <c r="H242" i="1" s="1"/>
  <c r="E241" i="1"/>
  <c r="F241" i="1" s="1"/>
  <c r="H241" i="1" s="1"/>
  <c r="E240" i="1"/>
  <c r="F240" i="1" s="1"/>
  <c r="H240" i="1" s="1"/>
  <c r="E239" i="1"/>
  <c r="F239" i="1" s="1"/>
  <c r="H239" i="1" s="1"/>
  <c r="E238" i="1"/>
  <c r="F238" i="1" s="1"/>
  <c r="H238" i="1" s="1"/>
  <c r="E237" i="1"/>
  <c r="F237" i="1" s="1"/>
  <c r="H237" i="1" s="1"/>
  <c r="E236" i="1"/>
  <c r="F236" i="1" s="1"/>
  <c r="H236" i="1" s="1"/>
  <c r="E235" i="1"/>
  <c r="F235" i="1" s="1"/>
  <c r="H235" i="1" s="1"/>
  <c r="E234" i="1"/>
  <c r="F234" i="1" s="1"/>
  <c r="H234" i="1" s="1"/>
  <c r="E233" i="1"/>
  <c r="F233" i="1" s="1"/>
  <c r="H233" i="1" s="1"/>
  <c r="E232" i="1"/>
  <c r="F232" i="1" s="1"/>
  <c r="H232" i="1" s="1"/>
  <c r="E231" i="1"/>
  <c r="F231" i="1" s="1"/>
  <c r="H231" i="1" s="1"/>
  <c r="E230" i="1"/>
  <c r="F230" i="1" s="1"/>
  <c r="H230" i="1" s="1"/>
  <c r="E229" i="1"/>
  <c r="F229" i="1" s="1"/>
  <c r="H229" i="1" s="1"/>
  <c r="E228" i="1"/>
  <c r="F228" i="1" s="1"/>
  <c r="H228" i="1" s="1"/>
  <c r="E227" i="1"/>
  <c r="F227" i="1" s="1"/>
  <c r="H227" i="1" s="1"/>
  <c r="E226" i="1"/>
  <c r="F226" i="1" s="1"/>
  <c r="H226" i="1" s="1"/>
  <c r="E225" i="1"/>
  <c r="F225" i="1" s="1"/>
  <c r="H225" i="1" s="1"/>
  <c r="E224" i="1"/>
  <c r="F224" i="1" s="1"/>
  <c r="H224" i="1" s="1"/>
  <c r="E223" i="1"/>
  <c r="F223" i="1" s="1"/>
  <c r="H223" i="1" s="1"/>
  <c r="E222" i="1"/>
  <c r="F222" i="1" s="1"/>
  <c r="H222" i="1" s="1"/>
  <c r="E221" i="1"/>
  <c r="F221" i="1" s="1"/>
  <c r="H221" i="1" s="1"/>
  <c r="E220" i="1"/>
  <c r="F220" i="1" s="1"/>
  <c r="H220" i="1" s="1"/>
  <c r="E219" i="1"/>
  <c r="F219" i="1" s="1"/>
  <c r="H219" i="1" s="1"/>
  <c r="E218" i="1"/>
  <c r="F218" i="1" s="1"/>
  <c r="H218" i="1" s="1"/>
  <c r="E217" i="1"/>
  <c r="F217" i="1" s="1"/>
  <c r="H217" i="1" s="1"/>
  <c r="E216" i="1"/>
  <c r="F216" i="1" s="1"/>
  <c r="H216" i="1" s="1"/>
  <c r="E215" i="1"/>
  <c r="F215" i="1" s="1"/>
  <c r="H215" i="1" s="1"/>
  <c r="E214" i="1"/>
  <c r="F214" i="1" s="1"/>
  <c r="H214" i="1" s="1"/>
  <c r="E213" i="1"/>
  <c r="F213" i="1" s="1"/>
  <c r="H213" i="1" s="1"/>
  <c r="E212" i="1"/>
  <c r="F212" i="1" s="1"/>
  <c r="H212" i="1" s="1"/>
  <c r="E211" i="1"/>
  <c r="F211" i="1" s="1"/>
  <c r="H211" i="1" s="1"/>
  <c r="E210" i="1"/>
  <c r="F210" i="1" s="1"/>
  <c r="H210" i="1" s="1"/>
  <c r="E209" i="1"/>
  <c r="F209" i="1" s="1"/>
  <c r="H209" i="1" s="1"/>
  <c r="E208" i="1"/>
  <c r="F208" i="1" s="1"/>
  <c r="H208" i="1" s="1"/>
  <c r="E207" i="1"/>
  <c r="F207" i="1" s="1"/>
  <c r="H207" i="1" s="1"/>
  <c r="E206" i="1"/>
  <c r="F206" i="1" s="1"/>
  <c r="H206" i="1" s="1"/>
  <c r="E205" i="1"/>
  <c r="F205" i="1" s="1"/>
  <c r="H205" i="1" s="1"/>
  <c r="E204" i="1"/>
  <c r="F204" i="1" s="1"/>
  <c r="H204" i="1" s="1"/>
  <c r="E203" i="1"/>
  <c r="F203" i="1" s="1"/>
  <c r="H203" i="1" s="1"/>
  <c r="E202" i="1"/>
  <c r="F202" i="1" s="1"/>
  <c r="H202" i="1" s="1"/>
  <c r="E201" i="1"/>
  <c r="F201" i="1" s="1"/>
  <c r="H201" i="1" s="1"/>
  <c r="E200" i="1"/>
  <c r="F200" i="1" s="1"/>
  <c r="H200" i="1" s="1"/>
  <c r="E199" i="1"/>
  <c r="F199" i="1" s="1"/>
  <c r="H199" i="1" s="1"/>
  <c r="E198" i="1"/>
  <c r="F198" i="1" s="1"/>
  <c r="H198" i="1" s="1"/>
  <c r="E197" i="1"/>
  <c r="F197" i="1" s="1"/>
  <c r="H197" i="1" s="1"/>
  <c r="E196" i="1"/>
  <c r="F196" i="1" s="1"/>
  <c r="H196" i="1" s="1"/>
  <c r="E195" i="1"/>
  <c r="F195" i="1" s="1"/>
  <c r="H195" i="1" s="1"/>
  <c r="E194" i="1"/>
  <c r="F194" i="1" s="1"/>
  <c r="H194" i="1" s="1"/>
  <c r="E193" i="1"/>
  <c r="F193" i="1" s="1"/>
  <c r="H193" i="1" s="1"/>
  <c r="E192" i="1"/>
  <c r="F192" i="1" s="1"/>
  <c r="H192" i="1" s="1"/>
  <c r="E191" i="1"/>
  <c r="F191" i="1" s="1"/>
  <c r="H191" i="1" s="1"/>
  <c r="E190" i="1"/>
  <c r="F190" i="1" s="1"/>
  <c r="H190" i="1" s="1"/>
  <c r="E189" i="1"/>
  <c r="F189" i="1" s="1"/>
  <c r="H189" i="1" s="1"/>
  <c r="E188" i="1"/>
  <c r="F188" i="1" s="1"/>
  <c r="H188" i="1" s="1"/>
  <c r="E187" i="1"/>
  <c r="F187" i="1" s="1"/>
  <c r="H187" i="1" s="1"/>
  <c r="E186" i="1"/>
  <c r="F186" i="1" s="1"/>
  <c r="H186" i="1" s="1"/>
  <c r="E185" i="1"/>
  <c r="F185" i="1" s="1"/>
  <c r="H185" i="1" s="1"/>
  <c r="E184" i="1"/>
  <c r="F184" i="1" s="1"/>
  <c r="H184" i="1" s="1"/>
  <c r="E183" i="1"/>
  <c r="F183" i="1" s="1"/>
  <c r="H183" i="1" s="1"/>
  <c r="E182" i="1"/>
  <c r="F182" i="1" s="1"/>
  <c r="H182" i="1" s="1"/>
  <c r="E181" i="1"/>
  <c r="F181" i="1" s="1"/>
  <c r="H181" i="1" s="1"/>
  <c r="E180" i="1"/>
  <c r="F180" i="1" s="1"/>
  <c r="H180" i="1" s="1"/>
  <c r="E179" i="1"/>
  <c r="F179" i="1" s="1"/>
  <c r="H179" i="1" s="1"/>
  <c r="E178" i="1"/>
  <c r="F178" i="1" s="1"/>
  <c r="H178" i="1" s="1"/>
  <c r="E177" i="1"/>
  <c r="F177" i="1" s="1"/>
  <c r="H177" i="1" s="1"/>
  <c r="E176" i="1"/>
  <c r="F176" i="1" s="1"/>
  <c r="H176" i="1" s="1"/>
  <c r="E175" i="1"/>
  <c r="F175" i="1" s="1"/>
  <c r="H175" i="1" s="1"/>
  <c r="E174" i="1"/>
  <c r="F174" i="1" s="1"/>
  <c r="H174" i="1" s="1"/>
  <c r="E173" i="1"/>
  <c r="F173" i="1" s="1"/>
  <c r="H173" i="1" s="1"/>
  <c r="E172" i="1"/>
  <c r="F172" i="1" s="1"/>
  <c r="H172" i="1" s="1"/>
  <c r="E171" i="1"/>
  <c r="F171" i="1" s="1"/>
  <c r="H171" i="1" s="1"/>
  <c r="E170" i="1"/>
  <c r="F170" i="1" s="1"/>
  <c r="H170" i="1" s="1"/>
  <c r="E169" i="1"/>
  <c r="F169" i="1" s="1"/>
  <c r="H169" i="1" s="1"/>
  <c r="E168" i="1"/>
  <c r="F168" i="1" s="1"/>
  <c r="H168" i="1" s="1"/>
  <c r="E167" i="1"/>
  <c r="F167" i="1" s="1"/>
  <c r="H167" i="1" s="1"/>
  <c r="E166" i="1"/>
  <c r="F166" i="1" s="1"/>
  <c r="H166" i="1" s="1"/>
  <c r="E165" i="1"/>
  <c r="F165" i="1" s="1"/>
  <c r="H165" i="1" s="1"/>
  <c r="E164" i="1"/>
  <c r="F164" i="1" s="1"/>
  <c r="H164" i="1" s="1"/>
  <c r="E163" i="1"/>
  <c r="F163" i="1" s="1"/>
  <c r="H163" i="1" s="1"/>
  <c r="E162" i="1"/>
  <c r="F162" i="1" s="1"/>
  <c r="H162" i="1" s="1"/>
  <c r="E161" i="1"/>
  <c r="F161" i="1" s="1"/>
  <c r="H161" i="1" s="1"/>
  <c r="E160" i="1"/>
  <c r="F160" i="1" s="1"/>
  <c r="H160" i="1" s="1"/>
  <c r="E159" i="1"/>
  <c r="F159" i="1" s="1"/>
  <c r="H159" i="1" s="1"/>
  <c r="E158" i="1"/>
  <c r="F158" i="1" s="1"/>
  <c r="H158" i="1" s="1"/>
  <c r="E157" i="1"/>
  <c r="F157" i="1" s="1"/>
  <c r="H157" i="1" s="1"/>
  <c r="E156" i="1"/>
  <c r="F156" i="1" s="1"/>
  <c r="H156" i="1" s="1"/>
  <c r="E155" i="1"/>
  <c r="F155" i="1" s="1"/>
  <c r="H155" i="1" s="1"/>
  <c r="E154" i="1"/>
  <c r="F154" i="1" s="1"/>
  <c r="H154" i="1" s="1"/>
  <c r="E153" i="1"/>
  <c r="F153" i="1" s="1"/>
  <c r="H153" i="1" s="1"/>
  <c r="E152" i="1"/>
  <c r="F152" i="1" s="1"/>
  <c r="H152" i="1" s="1"/>
  <c r="E151" i="1"/>
  <c r="F151" i="1" s="1"/>
  <c r="H151" i="1" s="1"/>
  <c r="E150" i="1"/>
  <c r="F150" i="1" s="1"/>
  <c r="H150" i="1" s="1"/>
  <c r="E149" i="1"/>
  <c r="F149" i="1" s="1"/>
  <c r="H149" i="1" s="1"/>
  <c r="E148" i="1"/>
  <c r="F148" i="1" s="1"/>
  <c r="H148" i="1" s="1"/>
  <c r="E147" i="1"/>
  <c r="F147" i="1" s="1"/>
  <c r="H147" i="1" s="1"/>
  <c r="E146" i="1"/>
  <c r="F146" i="1" s="1"/>
  <c r="H146" i="1" s="1"/>
  <c r="E145" i="1"/>
  <c r="F145" i="1" s="1"/>
  <c r="H145" i="1" s="1"/>
  <c r="E144" i="1"/>
  <c r="F144" i="1" s="1"/>
  <c r="H144" i="1" s="1"/>
  <c r="E143" i="1"/>
  <c r="F143" i="1" s="1"/>
  <c r="H143" i="1" s="1"/>
  <c r="E142" i="1"/>
  <c r="F142" i="1" s="1"/>
  <c r="H142" i="1" s="1"/>
  <c r="E141" i="1"/>
  <c r="F141" i="1" s="1"/>
  <c r="H141" i="1" s="1"/>
  <c r="E140" i="1"/>
  <c r="F140" i="1" s="1"/>
  <c r="H140" i="1" s="1"/>
  <c r="E139" i="1"/>
  <c r="F139" i="1" s="1"/>
  <c r="H139" i="1" s="1"/>
  <c r="E138" i="1"/>
  <c r="F138" i="1" s="1"/>
  <c r="H138" i="1" s="1"/>
  <c r="E137" i="1"/>
  <c r="F137" i="1" s="1"/>
  <c r="H137" i="1" s="1"/>
  <c r="E136" i="1"/>
  <c r="F136" i="1" s="1"/>
  <c r="H136" i="1" s="1"/>
  <c r="E135" i="1"/>
  <c r="F135" i="1" s="1"/>
  <c r="H135" i="1" s="1"/>
  <c r="E134" i="1"/>
  <c r="F134" i="1" s="1"/>
  <c r="H134" i="1" s="1"/>
  <c r="E133" i="1"/>
  <c r="F133" i="1" s="1"/>
  <c r="H133" i="1" s="1"/>
  <c r="E132" i="1"/>
  <c r="F132" i="1" s="1"/>
  <c r="H132" i="1" s="1"/>
  <c r="E131" i="1"/>
  <c r="F131" i="1" s="1"/>
  <c r="H131" i="1" s="1"/>
  <c r="E130" i="1"/>
  <c r="F130" i="1" s="1"/>
  <c r="H130" i="1" s="1"/>
  <c r="E129" i="1"/>
  <c r="F129" i="1" s="1"/>
  <c r="H129" i="1" s="1"/>
  <c r="E128" i="1"/>
  <c r="F128" i="1" s="1"/>
  <c r="H128" i="1" s="1"/>
  <c r="E127" i="1"/>
  <c r="F127" i="1" s="1"/>
  <c r="H127" i="1" s="1"/>
  <c r="E126" i="1"/>
  <c r="F126" i="1" s="1"/>
  <c r="H126" i="1" s="1"/>
  <c r="E125" i="1"/>
  <c r="F125" i="1" s="1"/>
  <c r="H125" i="1" s="1"/>
  <c r="E124" i="1"/>
  <c r="F124" i="1" s="1"/>
  <c r="H124" i="1" s="1"/>
  <c r="E123" i="1"/>
  <c r="F123" i="1" s="1"/>
  <c r="H123" i="1" s="1"/>
  <c r="E122" i="1"/>
  <c r="F122" i="1" s="1"/>
  <c r="H122" i="1" s="1"/>
  <c r="E121" i="1"/>
  <c r="F121" i="1" s="1"/>
  <c r="H121" i="1" s="1"/>
  <c r="E120" i="1"/>
  <c r="F120" i="1" s="1"/>
  <c r="H120" i="1" s="1"/>
  <c r="E119" i="1"/>
  <c r="F119" i="1" s="1"/>
  <c r="H119" i="1" s="1"/>
  <c r="E118" i="1"/>
  <c r="F118" i="1" s="1"/>
  <c r="H118" i="1" s="1"/>
  <c r="E117" i="1"/>
  <c r="F117" i="1" s="1"/>
  <c r="H117" i="1" s="1"/>
  <c r="E116" i="1"/>
  <c r="F116" i="1" s="1"/>
  <c r="H116" i="1" s="1"/>
  <c r="E115" i="1"/>
  <c r="F115" i="1" s="1"/>
  <c r="H115" i="1" s="1"/>
  <c r="E114" i="1"/>
  <c r="F114" i="1" s="1"/>
  <c r="H114" i="1" s="1"/>
  <c r="E113" i="1"/>
  <c r="F113" i="1" s="1"/>
  <c r="H113" i="1" s="1"/>
  <c r="E112" i="1"/>
  <c r="F112" i="1" s="1"/>
  <c r="H112" i="1" s="1"/>
  <c r="E111" i="1"/>
  <c r="F111" i="1" s="1"/>
  <c r="H111" i="1" s="1"/>
  <c r="E110" i="1"/>
  <c r="F110" i="1" s="1"/>
  <c r="H110" i="1" s="1"/>
  <c r="E109" i="1"/>
  <c r="F109" i="1" s="1"/>
  <c r="H109" i="1" s="1"/>
  <c r="E108" i="1"/>
  <c r="F108" i="1" s="1"/>
  <c r="H108" i="1" s="1"/>
  <c r="E107" i="1"/>
  <c r="F107" i="1" s="1"/>
  <c r="H107" i="1" s="1"/>
  <c r="E106" i="1"/>
  <c r="F106" i="1" s="1"/>
  <c r="H106" i="1" s="1"/>
  <c r="E105" i="1"/>
  <c r="F105" i="1" s="1"/>
  <c r="H105" i="1" s="1"/>
  <c r="E104" i="1"/>
  <c r="F104" i="1" s="1"/>
  <c r="H104" i="1" s="1"/>
  <c r="E103" i="1"/>
  <c r="F103" i="1" s="1"/>
  <c r="H103" i="1" s="1"/>
  <c r="E102" i="1"/>
  <c r="F102" i="1" s="1"/>
  <c r="H102" i="1" s="1"/>
  <c r="E101" i="1"/>
  <c r="F101" i="1" s="1"/>
  <c r="H101" i="1" s="1"/>
  <c r="E100" i="1"/>
  <c r="F100" i="1" s="1"/>
  <c r="H100" i="1" s="1"/>
  <c r="E99" i="1"/>
  <c r="F99" i="1" s="1"/>
  <c r="H99" i="1" s="1"/>
  <c r="E98" i="1"/>
  <c r="F98" i="1" s="1"/>
  <c r="H98" i="1" s="1"/>
  <c r="E97" i="1"/>
  <c r="F97" i="1" s="1"/>
  <c r="H97" i="1" s="1"/>
  <c r="E96" i="1"/>
  <c r="F96" i="1" s="1"/>
  <c r="H96" i="1" s="1"/>
  <c r="E95" i="1"/>
  <c r="F95" i="1" s="1"/>
  <c r="H95" i="1" s="1"/>
  <c r="E94" i="1"/>
  <c r="F94" i="1" s="1"/>
  <c r="H94" i="1" s="1"/>
  <c r="E93" i="1"/>
  <c r="F93" i="1" s="1"/>
  <c r="H93" i="1" s="1"/>
  <c r="E92" i="1"/>
  <c r="F92" i="1" s="1"/>
  <c r="H92" i="1" s="1"/>
  <c r="E91" i="1"/>
  <c r="F91" i="1" s="1"/>
  <c r="H91" i="1" s="1"/>
  <c r="E90" i="1"/>
  <c r="F90" i="1" s="1"/>
  <c r="H90" i="1" s="1"/>
  <c r="E89" i="1"/>
  <c r="F89" i="1" s="1"/>
  <c r="H89" i="1" s="1"/>
  <c r="E88" i="1"/>
  <c r="F88" i="1" s="1"/>
  <c r="H88" i="1" s="1"/>
  <c r="E87" i="1"/>
  <c r="F87" i="1" s="1"/>
  <c r="H87" i="1" s="1"/>
  <c r="E86" i="1"/>
  <c r="F86" i="1" s="1"/>
  <c r="H86" i="1" s="1"/>
  <c r="E85" i="1"/>
  <c r="F85" i="1" s="1"/>
  <c r="H85" i="1" s="1"/>
  <c r="E84" i="1"/>
  <c r="F84" i="1" s="1"/>
  <c r="H84" i="1" s="1"/>
  <c r="E83" i="1"/>
  <c r="F83" i="1" s="1"/>
  <c r="H83" i="1" s="1"/>
  <c r="E82" i="1"/>
  <c r="F82" i="1" s="1"/>
  <c r="H82" i="1" s="1"/>
  <c r="E81" i="1"/>
  <c r="F81" i="1" s="1"/>
  <c r="H81" i="1" s="1"/>
  <c r="E80" i="1"/>
  <c r="F80" i="1" s="1"/>
  <c r="H80" i="1" s="1"/>
  <c r="E79" i="1"/>
  <c r="F79" i="1" s="1"/>
  <c r="H79" i="1" s="1"/>
  <c r="E78" i="1"/>
  <c r="F78" i="1" s="1"/>
  <c r="H78" i="1" s="1"/>
  <c r="E77" i="1"/>
  <c r="F77" i="1" s="1"/>
  <c r="H77" i="1" s="1"/>
  <c r="E76" i="1"/>
  <c r="F76" i="1" s="1"/>
  <c r="H76" i="1" s="1"/>
  <c r="E75" i="1"/>
  <c r="F75" i="1" s="1"/>
  <c r="H75" i="1" s="1"/>
  <c r="E74" i="1"/>
  <c r="F74" i="1" s="1"/>
  <c r="H74" i="1" s="1"/>
  <c r="E73" i="1"/>
  <c r="F73" i="1" s="1"/>
  <c r="H73" i="1" s="1"/>
  <c r="E72" i="1"/>
  <c r="F72" i="1" s="1"/>
  <c r="H72" i="1" s="1"/>
  <c r="E71" i="1"/>
  <c r="F71" i="1" s="1"/>
  <c r="H71" i="1" s="1"/>
  <c r="E70" i="1"/>
  <c r="F70" i="1" s="1"/>
  <c r="H70" i="1" s="1"/>
  <c r="E69" i="1"/>
  <c r="F69" i="1" s="1"/>
  <c r="H69" i="1" s="1"/>
  <c r="E68" i="1"/>
  <c r="F68" i="1" s="1"/>
  <c r="H68" i="1" s="1"/>
  <c r="E67" i="1"/>
  <c r="F67" i="1" s="1"/>
  <c r="H67" i="1" s="1"/>
  <c r="E66" i="1"/>
  <c r="F66" i="1" s="1"/>
  <c r="H66" i="1" s="1"/>
  <c r="E65" i="1"/>
  <c r="F65" i="1" s="1"/>
  <c r="H65" i="1" s="1"/>
  <c r="E64" i="1"/>
  <c r="F64" i="1" s="1"/>
  <c r="H64" i="1" s="1"/>
  <c r="E63" i="1"/>
  <c r="F63" i="1" s="1"/>
  <c r="H63" i="1" s="1"/>
  <c r="E62" i="1"/>
  <c r="F62" i="1" s="1"/>
  <c r="H62" i="1" s="1"/>
  <c r="E61" i="1"/>
  <c r="F61" i="1" s="1"/>
  <c r="H61" i="1" s="1"/>
  <c r="E60" i="1"/>
  <c r="F60" i="1" s="1"/>
  <c r="H60" i="1" s="1"/>
  <c r="E59" i="1"/>
  <c r="F59" i="1" s="1"/>
  <c r="H59" i="1" s="1"/>
  <c r="E58" i="1"/>
  <c r="F58" i="1" s="1"/>
  <c r="H58" i="1" s="1"/>
  <c r="E57" i="1"/>
  <c r="F57" i="1" s="1"/>
  <c r="H57" i="1" s="1"/>
  <c r="E56" i="1"/>
  <c r="F56" i="1" s="1"/>
  <c r="H56" i="1" s="1"/>
  <c r="E55" i="1"/>
  <c r="F55" i="1" s="1"/>
  <c r="H55" i="1" s="1"/>
  <c r="E54" i="1"/>
  <c r="F54" i="1" s="1"/>
  <c r="H54" i="1" s="1"/>
  <c r="E53" i="1"/>
  <c r="F53" i="1" s="1"/>
  <c r="H53" i="1" s="1"/>
  <c r="E52" i="1"/>
  <c r="F52" i="1" s="1"/>
  <c r="H52" i="1" s="1"/>
  <c r="E51" i="1"/>
  <c r="F51" i="1" s="1"/>
  <c r="H51" i="1" s="1"/>
  <c r="E50" i="1"/>
  <c r="F50" i="1" s="1"/>
  <c r="H50" i="1" s="1"/>
  <c r="E49" i="1"/>
  <c r="F49" i="1" s="1"/>
  <c r="H49" i="1" s="1"/>
  <c r="E48" i="1"/>
  <c r="F48" i="1" s="1"/>
  <c r="H48" i="1" s="1"/>
  <c r="E47" i="1"/>
  <c r="F47" i="1" s="1"/>
  <c r="H47" i="1" s="1"/>
  <c r="E46" i="1"/>
  <c r="F46" i="1" s="1"/>
  <c r="H46" i="1" s="1"/>
  <c r="E45" i="1"/>
  <c r="F45" i="1" s="1"/>
  <c r="H45" i="1" s="1"/>
  <c r="E44" i="1"/>
  <c r="F44" i="1" s="1"/>
  <c r="H44" i="1" s="1"/>
  <c r="E43" i="1"/>
  <c r="F43" i="1" s="1"/>
  <c r="H43" i="1" s="1"/>
  <c r="E42" i="1"/>
  <c r="F42" i="1" s="1"/>
  <c r="H42" i="1" s="1"/>
  <c r="E41" i="1"/>
  <c r="F41" i="1" s="1"/>
  <c r="H41" i="1" s="1"/>
  <c r="E40" i="1"/>
  <c r="F40" i="1" s="1"/>
  <c r="H40" i="1" s="1"/>
  <c r="E39" i="1"/>
  <c r="F39" i="1" s="1"/>
  <c r="H39" i="1" s="1"/>
  <c r="E38" i="1"/>
  <c r="F38" i="1" s="1"/>
  <c r="H38" i="1" s="1"/>
  <c r="E37" i="1"/>
  <c r="F37" i="1" s="1"/>
  <c r="H37" i="1" s="1"/>
  <c r="E36" i="1"/>
  <c r="F36" i="1" s="1"/>
  <c r="H36" i="1" s="1"/>
  <c r="E35" i="1"/>
  <c r="F35" i="1" s="1"/>
  <c r="H35" i="1" s="1"/>
  <c r="E34" i="1"/>
  <c r="F34" i="1" s="1"/>
  <c r="H34" i="1" s="1"/>
  <c r="E33" i="1"/>
  <c r="F33" i="1" s="1"/>
  <c r="H33" i="1" s="1"/>
  <c r="E32" i="1"/>
  <c r="F32" i="1" s="1"/>
  <c r="H32" i="1" s="1"/>
  <c r="E31" i="1"/>
  <c r="F31" i="1" s="1"/>
  <c r="H31" i="1" s="1"/>
  <c r="E30" i="1"/>
  <c r="F30" i="1" s="1"/>
  <c r="H30" i="1" s="1"/>
  <c r="E29" i="1"/>
  <c r="F29" i="1" s="1"/>
  <c r="H29" i="1" s="1"/>
  <c r="E28" i="1"/>
  <c r="F28" i="1" s="1"/>
  <c r="H28" i="1" s="1"/>
  <c r="E27" i="1"/>
  <c r="F27" i="1" s="1"/>
  <c r="H27" i="1" s="1"/>
  <c r="E26" i="1"/>
  <c r="F26" i="1" s="1"/>
  <c r="H26" i="1" s="1"/>
  <c r="E25" i="1"/>
  <c r="F25" i="1" s="1"/>
  <c r="H25" i="1" s="1"/>
  <c r="E24" i="1"/>
  <c r="F24" i="1" s="1"/>
  <c r="H24" i="1" s="1"/>
  <c r="E23" i="1"/>
  <c r="F23" i="1" s="1"/>
  <c r="H23" i="1" s="1"/>
  <c r="E22" i="1"/>
  <c r="F22" i="1" s="1"/>
  <c r="H22" i="1" s="1"/>
  <c r="E21" i="1"/>
  <c r="F21" i="1" s="1"/>
  <c r="H21" i="1" s="1"/>
  <c r="E20" i="1"/>
  <c r="F20" i="1" s="1"/>
  <c r="H20" i="1" s="1"/>
  <c r="E19" i="1"/>
  <c r="F19" i="1" s="1"/>
  <c r="H19" i="1" s="1"/>
  <c r="E18" i="1"/>
  <c r="F18" i="1" s="1"/>
  <c r="H18" i="1" s="1"/>
  <c r="E17" i="1"/>
  <c r="F17" i="1" s="1"/>
  <c r="H17" i="1" s="1"/>
  <c r="E16" i="1"/>
  <c r="F16" i="1" s="1"/>
  <c r="H16" i="1" s="1"/>
  <c r="E15" i="1"/>
  <c r="F15" i="1" s="1"/>
  <c r="H15" i="1" s="1"/>
  <c r="E14" i="1"/>
  <c r="F14" i="1" s="1"/>
  <c r="H14" i="1" s="1"/>
  <c r="E13" i="1"/>
  <c r="F13" i="1" s="1"/>
  <c r="H13" i="1" s="1"/>
  <c r="E12" i="1"/>
  <c r="F12" i="1" s="1"/>
  <c r="H12" i="1" s="1"/>
  <c r="E11" i="1"/>
  <c r="F11" i="1" s="1"/>
  <c r="H11" i="1" s="1"/>
  <c r="E10" i="1"/>
  <c r="F10" i="1" s="1"/>
  <c r="H10" i="1" s="1"/>
  <c r="E9" i="1"/>
  <c r="F9" i="1" s="1"/>
  <c r="H9" i="1" s="1"/>
  <c r="E8" i="1"/>
  <c r="F8" i="1" s="1"/>
  <c r="H8" i="1" s="1"/>
  <c r="E7" i="1"/>
  <c r="F7" i="1" s="1"/>
  <c r="H7" i="1" s="1"/>
  <c r="E6" i="1"/>
  <c r="F6" i="1" s="1"/>
  <c r="H6" i="1" s="1"/>
  <c r="E5" i="1"/>
  <c r="F5" i="1" s="1"/>
  <c r="H5" i="1" s="1"/>
  <c r="E4" i="1"/>
  <c r="F4" i="1" s="1"/>
  <c r="H4" i="1" s="1"/>
  <c r="E3" i="1"/>
  <c r="F3" i="1" s="1"/>
  <c r="H3" i="1" s="1"/>
  <c r="E2" i="1"/>
  <c r="F2" i="1" s="1"/>
  <c r="H2" i="1" s="1"/>
  <c r="G29" i="1" l="1"/>
  <c r="G109" i="1"/>
  <c r="G221" i="1"/>
  <c r="G30" i="1"/>
  <c r="G174" i="1"/>
  <c r="G31" i="1"/>
  <c r="G95" i="1"/>
  <c r="G207" i="1"/>
  <c r="G32" i="1"/>
  <c r="G128" i="1"/>
  <c r="G208" i="1"/>
  <c r="G49" i="1"/>
  <c r="G97" i="1"/>
  <c r="G129" i="1"/>
  <c r="G145" i="1"/>
  <c r="G177" i="1"/>
  <c r="G193" i="1"/>
  <c r="G225" i="1"/>
  <c r="G257" i="1"/>
  <c r="G2" i="1"/>
  <c r="G34" i="1"/>
  <c r="G50" i="1"/>
  <c r="G82" i="1"/>
  <c r="G98" i="1"/>
  <c r="G114" i="1"/>
  <c r="G130" i="1"/>
  <c r="G146" i="1"/>
  <c r="G162" i="1"/>
  <c r="G178" i="1"/>
  <c r="G194" i="1"/>
  <c r="G210" i="1"/>
  <c r="G226" i="1"/>
  <c r="G242" i="1"/>
  <c r="G258" i="1"/>
  <c r="G3" i="1"/>
  <c r="G19" i="1"/>
  <c r="G35" i="1"/>
  <c r="G51" i="1"/>
  <c r="G67" i="1"/>
  <c r="G83" i="1"/>
  <c r="G99" i="1"/>
  <c r="G115" i="1"/>
  <c r="G131" i="1"/>
  <c r="G147" i="1"/>
  <c r="G163" i="1"/>
  <c r="G179" i="1"/>
  <c r="G195" i="1"/>
  <c r="G211" i="1"/>
  <c r="G227" i="1"/>
  <c r="G243" i="1"/>
  <c r="G259" i="1"/>
  <c r="G45" i="1"/>
  <c r="G253" i="1"/>
  <c r="G110" i="1"/>
  <c r="G47" i="1"/>
  <c r="G191" i="1"/>
  <c r="G112" i="1"/>
  <c r="G33" i="1"/>
  <c r="G113" i="1"/>
  <c r="G161" i="1"/>
  <c r="G209" i="1"/>
  <c r="G241" i="1"/>
  <c r="G18" i="1"/>
  <c r="G66" i="1"/>
  <c r="G4" i="1"/>
  <c r="G20" i="1"/>
  <c r="G36" i="1"/>
  <c r="G52" i="1"/>
  <c r="G68" i="1"/>
  <c r="G84" i="1"/>
  <c r="G100" i="1"/>
  <c r="G116" i="1"/>
  <c r="G132" i="1"/>
  <c r="G148" i="1"/>
  <c r="G164" i="1"/>
  <c r="G180" i="1"/>
  <c r="G196" i="1"/>
  <c r="G212" i="1"/>
  <c r="G228" i="1"/>
  <c r="G244" i="1"/>
  <c r="G260" i="1"/>
  <c r="G13" i="1"/>
  <c r="G141" i="1"/>
  <c r="G62" i="1"/>
  <c r="G238" i="1"/>
  <c r="G143" i="1"/>
  <c r="G64" i="1"/>
  <c r="G256" i="1"/>
  <c r="G53" i="1"/>
  <c r="G85" i="1"/>
  <c r="G101" i="1"/>
  <c r="G117" i="1"/>
  <c r="G133" i="1"/>
  <c r="G149" i="1"/>
  <c r="G165" i="1"/>
  <c r="G181" i="1"/>
  <c r="G197" i="1"/>
  <c r="G213" i="1"/>
  <c r="G229" i="1"/>
  <c r="G245" i="1"/>
  <c r="G261" i="1"/>
  <c r="G157" i="1"/>
  <c r="G94" i="1"/>
  <c r="G15" i="1"/>
  <c r="G175" i="1"/>
  <c r="G96" i="1"/>
  <c r="G17" i="1"/>
  <c r="G69" i="1"/>
  <c r="G86" i="1"/>
  <c r="G102" i="1"/>
  <c r="G118" i="1"/>
  <c r="G134" i="1"/>
  <c r="G150" i="1"/>
  <c r="G166" i="1"/>
  <c r="G182" i="1"/>
  <c r="G198" i="1"/>
  <c r="G214" i="1"/>
  <c r="G230" i="1"/>
  <c r="G246" i="1"/>
  <c r="G262" i="1"/>
  <c r="G189" i="1"/>
  <c r="G190" i="1"/>
  <c r="G183" i="1"/>
  <c r="G199" i="1"/>
  <c r="G215" i="1"/>
  <c r="G231" i="1"/>
  <c r="G247" i="1"/>
  <c r="G263" i="1"/>
  <c r="G125" i="1"/>
  <c r="G78" i="1"/>
  <c r="G63" i="1"/>
  <c r="G239" i="1"/>
  <c r="G176" i="1"/>
  <c r="G21" i="1"/>
  <c r="G7" i="1"/>
  <c r="G87" i="1"/>
  <c r="G8" i="1"/>
  <c r="G104" i="1"/>
  <c r="G184" i="1"/>
  <c r="G200" i="1"/>
  <c r="G216" i="1"/>
  <c r="G232" i="1"/>
  <c r="G248" i="1"/>
  <c r="G264" i="1"/>
  <c r="G93" i="1"/>
  <c r="G14" i="1"/>
  <c r="G206" i="1"/>
  <c r="G159" i="1"/>
  <c r="G48" i="1"/>
  <c r="G224" i="1"/>
  <c r="G37" i="1"/>
  <c r="G54" i="1"/>
  <c r="G71" i="1"/>
  <c r="G135" i="1"/>
  <c r="G24" i="1"/>
  <c r="G88" i="1"/>
  <c r="G9" i="1"/>
  <c r="G105" i="1"/>
  <c r="G121" i="1"/>
  <c r="G137" i="1"/>
  <c r="G153" i="1"/>
  <c r="G169" i="1"/>
  <c r="G185" i="1"/>
  <c r="G201" i="1"/>
  <c r="G217" i="1"/>
  <c r="G233" i="1"/>
  <c r="G249" i="1"/>
  <c r="G265" i="1"/>
  <c r="G61" i="1"/>
  <c r="G237" i="1"/>
  <c r="G158" i="1"/>
  <c r="G79" i="1"/>
  <c r="G255" i="1"/>
  <c r="G160" i="1"/>
  <c r="G65" i="1"/>
  <c r="G22" i="1"/>
  <c r="G23" i="1"/>
  <c r="G119" i="1"/>
  <c r="G40" i="1"/>
  <c r="G136" i="1"/>
  <c r="G25" i="1"/>
  <c r="G89" i="1"/>
  <c r="G42" i="1"/>
  <c r="G106" i="1"/>
  <c r="G138" i="1"/>
  <c r="G170" i="1"/>
  <c r="G186" i="1"/>
  <c r="G202" i="1"/>
  <c r="G218" i="1"/>
  <c r="G234" i="1"/>
  <c r="G250" i="1"/>
  <c r="G266" i="1"/>
  <c r="G173" i="1"/>
  <c r="G126" i="1"/>
  <c r="G222" i="1"/>
  <c r="G111" i="1"/>
  <c r="G16" i="1"/>
  <c r="G192" i="1"/>
  <c r="G5" i="1"/>
  <c r="G38" i="1"/>
  <c r="G55" i="1"/>
  <c r="G151" i="1"/>
  <c r="G72" i="1"/>
  <c r="G152" i="1"/>
  <c r="G57" i="1"/>
  <c r="G10" i="1"/>
  <c r="G74" i="1"/>
  <c r="G154" i="1"/>
  <c r="G27" i="1"/>
  <c r="G75" i="1"/>
  <c r="G107" i="1"/>
  <c r="G123" i="1"/>
  <c r="G139" i="1"/>
  <c r="G155" i="1"/>
  <c r="G171" i="1"/>
  <c r="G187" i="1"/>
  <c r="G203" i="1"/>
  <c r="G219" i="1"/>
  <c r="G235" i="1"/>
  <c r="G251" i="1"/>
  <c r="G267" i="1"/>
  <c r="G77" i="1"/>
  <c r="G205" i="1"/>
  <c r="G46" i="1"/>
  <c r="G142" i="1"/>
  <c r="G254" i="1"/>
  <c r="G127" i="1"/>
  <c r="G223" i="1"/>
  <c r="G80" i="1"/>
  <c r="G144" i="1"/>
  <c r="G240" i="1"/>
  <c r="G81" i="1"/>
  <c r="G6" i="1"/>
  <c r="G70" i="1"/>
  <c r="G39" i="1"/>
  <c r="G103" i="1"/>
  <c r="G167" i="1"/>
  <c r="G56" i="1"/>
  <c r="G120" i="1"/>
  <c r="G168" i="1"/>
  <c r="G41" i="1"/>
  <c r="G73" i="1"/>
  <c r="G26" i="1"/>
  <c r="G58" i="1"/>
  <c r="G90" i="1"/>
  <c r="G122" i="1"/>
  <c r="G11" i="1"/>
  <c r="G43" i="1"/>
  <c r="G59" i="1"/>
  <c r="G91" i="1"/>
  <c r="G12" i="1"/>
  <c r="G28" i="1"/>
  <c r="G44" i="1"/>
  <c r="G60" i="1"/>
  <c r="G76" i="1"/>
  <c r="G92" i="1"/>
  <c r="G108" i="1"/>
  <c r="G124" i="1"/>
  <c r="G140" i="1"/>
  <c r="G156" i="1"/>
  <c r="G172" i="1"/>
  <c r="G188" i="1"/>
  <c r="G204" i="1"/>
  <c r="G220" i="1"/>
  <c r="G236" i="1"/>
  <c r="G252" i="1"/>
  <c r="G268" i="1"/>
</calcChain>
</file>

<file path=xl/sharedStrings.xml><?xml version="1.0" encoding="utf-8"?>
<sst xmlns="http://schemas.openxmlformats.org/spreadsheetml/2006/main" count="2234" uniqueCount="361">
  <si>
    <t>Infraestructura</t>
  </si>
  <si>
    <t>Directo/ColTel</t>
  </si>
  <si>
    <t>Cosecha</t>
  </si>
  <si>
    <t>OT_ORIGINAL</t>
  </si>
  <si>
    <t>Municipio</t>
  </si>
  <si>
    <t>2024-01-01</t>
  </si>
  <si>
    <t>2024-02-01</t>
  </si>
  <si>
    <t>2024-03-01</t>
  </si>
  <si>
    <t>2024-04-01</t>
  </si>
  <si>
    <t>2024-05-01</t>
  </si>
  <si>
    <t>Empresa</t>
  </si>
  <si>
    <t>Electrificacora/Telco</t>
  </si>
  <si>
    <t>Departamento</t>
  </si>
  <si>
    <t>Desempeño</t>
  </si>
  <si>
    <t>Código municipio</t>
  </si>
  <si>
    <t>Observaciones</t>
  </si>
  <si>
    <t>Torre</t>
  </si>
  <si>
    <t>Q Ductos</t>
  </si>
  <si>
    <t>Q Total Postes</t>
  </si>
  <si>
    <t>Electrificadora</t>
  </si>
  <si>
    <t>POPAYAN</t>
  </si>
  <si>
    <t>OT-00357743</t>
  </si>
  <si>
    <t>Tercero</t>
  </si>
  <si>
    <t>Postes</t>
  </si>
  <si>
    <t>OT-00358051</t>
  </si>
  <si>
    <t>OT-00358053</t>
  </si>
  <si>
    <t>OT-00358054</t>
  </si>
  <si>
    <t>OT-00358074</t>
  </si>
  <si>
    <t>OT-00358048</t>
  </si>
  <si>
    <t>OT-00358052</t>
  </si>
  <si>
    <t>OT-00358128</t>
  </si>
  <si>
    <t>OT-00358194</t>
  </si>
  <si>
    <t>OT-00360659</t>
  </si>
  <si>
    <t>OT-00360753</t>
  </si>
  <si>
    <t>OT-00360877</t>
  </si>
  <si>
    <t>OT-00361055</t>
  </si>
  <si>
    <t>OT-00361100</t>
  </si>
  <si>
    <t>OT-00372957</t>
  </si>
  <si>
    <t>OT-00373099</t>
  </si>
  <si>
    <t>OT-00360953</t>
  </si>
  <si>
    <t>OT-00360998</t>
  </si>
  <si>
    <t>OT-00361021</t>
  </si>
  <si>
    <t>OT-00366171</t>
  </si>
  <si>
    <t>OT-00366186</t>
  </si>
  <si>
    <t>OT-00366254</t>
  </si>
  <si>
    <t>OT-00366274</t>
  </si>
  <si>
    <t>OT-00366354</t>
  </si>
  <si>
    <t>OT-00366383</t>
  </si>
  <si>
    <t>OT-00366402</t>
  </si>
  <si>
    <t>OT-00371587</t>
  </si>
  <si>
    <t>OT-00372043</t>
  </si>
  <si>
    <t>OT-00374063</t>
  </si>
  <si>
    <t>OT-00367261</t>
  </si>
  <si>
    <t>OT-00369317</t>
  </si>
  <si>
    <t>OT-00369318</t>
  </si>
  <si>
    <t>OT-00369325</t>
  </si>
  <si>
    <t>OT-00369375</t>
  </si>
  <si>
    <t>OT-00369406</t>
  </si>
  <si>
    <t>OT-00369489</t>
  </si>
  <si>
    <t>OT-00371589</t>
  </si>
  <si>
    <t>OT-00371591</t>
  </si>
  <si>
    <t>OT-00371592</t>
  </si>
  <si>
    <t>OT-00372072</t>
  </si>
  <si>
    <t>OT-00372266</t>
  </si>
  <si>
    <t>OT-00372281</t>
  </si>
  <si>
    <t>OT-00372640</t>
  </si>
  <si>
    <t>OT-00373124</t>
  </si>
  <si>
    <t>OT-00373500</t>
  </si>
  <si>
    <t>OT-00373537</t>
  </si>
  <si>
    <t>OT-00375944</t>
  </si>
  <si>
    <t>OT-00375948</t>
  </si>
  <si>
    <t>OT-00375954</t>
  </si>
  <si>
    <t>OT-00366385</t>
  </si>
  <si>
    <t>OT-00369506</t>
  </si>
  <si>
    <t>OT-00371823</t>
  </si>
  <si>
    <t>OT-00372066</t>
  </si>
  <si>
    <t>OT-00372227</t>
  </si>
  <si>
    <t>OT-00372371</t>
  </si>
  <si>
    <t>OT-00372699</t>
  </si>
  <si>
    <t>OT-00373445</t>
  </si>
  <si>
    <t>OT-00373477</t>
  </si>
  <si>
    <t>OT-00373871</t>
  </si>
  <si>
    <t>OT-00375947</t>
  </si>
  <si>
    <t>OT-00378022</t>
  </si>
  <si>
    <t>OT-00378035</t>
  </si>
  <si>
    <t>OT-00378230</t>
  </si>
  <si>
    <t>OT-00381910</t>
  </si>
  <si>
    <t>OT-00381932</t>
  </si>
  <si>
    <t>OT-00383376</t>
  </si>
  <si>
    <t>OT-00383493</t>
  </si>
  <si>
    <t>OT-00372254</t>
  </si>
  <si>
    <t>OT-00373107</t>
  </si>
  <si>
    <t>OT-00373932</t>
  </si>
  <si>
    <t>OT-00376040</t>
  </si>
  <si>
    <t>OT-00376086</t>
  </si>
  <si>
    <t>OT-00376114</t>
  </si>
  <si>
    <t>OT-00377777</t>
  </si>
  <si>
    <t>OT-00378486</t>
  </si>
  <si>
    <t>OT-00378516</t>
  </si>
  <si>
    <t>OT-00381712</t>
  </si>
  <si>
    <t>OT-00382038</t>
  </si>
  <si>
    <t>OT-00382057</t>
  </si>
  <si>
    <t>OT-00382149</t>
  </si>
  <si>
    <t>OT-00382171</t>
  </si>
  <si>
    <t>OT-00384306</t>
  </si>
  <si>
    <t>OT-00384330</t>
  </si>
  <si>
    <t>OT-00384427</t>
  </si>
  <si>
    <t>OT-00384686</t>
  </si>
  <si>
    <t>SANTANDER DE QUILICHAO</t>
  </si>
  <si>
    <t>OT-00375688</t>
  </si>
  <si>
    <t>OT-00377760</t>
  </si>
  <si>
    <t>OT-00371839</t>
  </si>
  <si>
    <t>OT-00372492</t>
  </si>
  <si>
    <t>OT-00376144</t>
  </si>
  <si>
    <t>OT-00381836</t>
  </si>
  <si>
    <t>OT-00382085</t>
  </si>
  <si>
    <t>OT-00383381</t>
  </si>
  <si>
    <t>OT-00383566</t>
  </si>
  <si>
    <t>OT-00384254</t>
  </si>
  <si>
    <t>OT-00384354</t>
  </si>
  <si>
    <t>OT-00389023</t>
  </si>
  <si>
    <t>OT-00389400</t>
  </si>
  <si>
    <t>OT-00389437</t>
  </si>
  <si>
    <t>OT-00389462</t>
  </si>
  <si>
    <t>OT-00389486</t>
  </si>
  <si>
    <t>OT-00389508</t>
  </si>
  <si>
    <t>OT-00389599</t>
  </si>
  <si>
    <t>OT-00389649</t>
  </si>
  <si>
    <t>OT-00389778</t>
  </si>
  <si>
    <t>OT-00389792</t>
  </si>
  <si>
    <t>OT-00377051</t>
  </si>
  <si>
    <t>OT-00377068</t>
  </si>
  <si>
    <t>OT-00377071</t>
  </si>
  <si>
    <t>OT-00377566</t>
  </si>
  <si>
    <t>OT-00373583</t>
  </si>
  <si>
    <t>OT-00378419</t>
  </si>
  <si>
    <t>OT-00381787</t>
  </si>
  <si>
    <t>OT-00382476</t>
  </si>
  <si>
    <t>OT-00383648</t>
  </si>
  <si>
    <t>OT-00383677</t>
  </si>
  <si>
    <t>OT-00383685</t>
  </si>
  <si>
    <t>OT-00384420</t>
  </si>
  <si>
    <t>OT-00384533</t>
  </si>
  <si>
    <t>OT-00384600</t>
  </si>
  <si>
    <t>OT-00384640</t>
  </si>
  <si>
    <t>OT-00388484</t>
  </si>
  <si>
    <t>OT-00388826</t>
  </si>
  <si>
    <t>OT-00389414</t>
  </si>
  <si>
    <t>OT-00389670</t>
  </si>
  <si>
    <t>OT-00389852</t>
  </si>
  <si>
    <t>OT-00390803</t>
  </si>
  <si>
    <t>OT-00390872</t>
  </si>
  <si>
    <t>OT-00390898</t>
  </si>
  <si>
    <t>OT-00391093</t>
  </si>
  <si>
    <t>OT-00391232</t>
  </si>
  <si>
    <t>OT-00392033</t>
  </si>
  <si>
    <t>OT-00377341</t>
  </si>
  <si>
    <t>OT-00377344</t>
  </si>
  <si>
    <t>OT-00377352</t>
  </si>
  <si>
    <t>OT-00377577</t>
  </si>
  <si>
    <t>OT-00377697</t>
  </si>
  <si>
    <t>OT-00377723</t>
  </si>
  <si>
    <t>OT-00377729</t>
  </si>
  <si>
    <t>OT-00377733</t>
  </si>
  <si>
    <t>OT-00377740</t>
  </si>
  <si>
    <t>OT-00377841</t>
  </si>
  <si>
    <t>OT-00377843</t>
  </si>
  <si>
    <t>OT-00388346</t>
  </si>
  <si>
    <t>OT-00391122</t>
  </si>
  <si>
    <t>OT-00392428</t>
  </si>
  <si>
    <t>OT-00392462</t>
  </si>
  <si>
    <t>OT-00392598</t>
  </si>
  <si>
    <t>OT-00392675</t>
  </si>
  <si>
    <t>OT-00392700</t>
  </si>
  <si>
    <t>OT-00392752</t>
  </si>
  <si>
    <t>OT-00393501</t>
  </si>
  <si>
    <t>OT-00393625</t>
  </si>
  <si>
    <t>OT-00393747</t>
  </si>
  <si>
    <t>OT-00394059</t>
  </si>
  <si>
    <t>OT-00398142</t>
  </si>
  <si>
    <t>OT-00398250</t>
  </si>
  <si>
    <t>OT-00399017</t>
  </si>
  <si>
    <t>OT-00400571</t>
  </si>
  <si>
    <t>OT-00377348</t>
  </si>
  <si>
    <t>OT-00377587</t>
  </si>
  <si>
    <t>OT-00377594</t>
  </si>
  <si>
    <t>OT-00377741</t>
  </si>
  <si>
    <t>OT-00377765</t>
  </si>
  <si>
    <t>OT-00389971</t>
  </si>
  <si>
    <t>OT-00391268</t>
  </si>
  <si>
    <t>OT-00391366</t>
  </si>
  <si>
    <t>OT-00391392</t>
  </si>
  <si>
    <t>OT-00392564</t>
  </si>
  <si>
    <t>OT-00392573</t>
  </si>
  <si>
    <t>OT-00392611</t>
  </si>
  <si>
    <t>OT-00392714</t>
  </si>
  <si>
    <t>OT-00393381</t>
  </si>
  <si>
    <t>OT-00394032</t>
  </si>
  <si>
    <t>OT-00394111</t>
  </si>
  <si>
    <t>OT-00394232</t>
  </si>
  <si>
    <t>OT-00394259</t>
  </si>
  <si>
    <t>OT-00397792</t>
  </si>
  <si>
    <t>OT-00397870</t>
  </si>
  <si>
    <t>OT-00398133</t>
  </si>
  <si>
    <t>OT-00398978</t>
  </si>
  <si>
    <t>OT-00399054</t>
  </si>
  <si>
    <t>OT-00400193</t>
  </si>
  <si>
    <t>OT-00400662</t>
  </si>
  <si>
    <t>OT-00400956</t>
  </si>
  <si>
    <t>OT-00401832</t>
  </si>
  <si>
    <t>OT-00402077</t>
  </si>
  <si>
    <t>OT-00402100</t>
  </si>
  <si>
    <t>OT-00402119</t>
  </si>
  <si>
    <t>OT-00402794</t>
  </si>
  <si>
    <t>OT-00403708</t>
  </si>
  <si>
    <t>OT-00404059</t>
  </si>
  <si>
    <t>OT-00408257</t>
  </si>
  <si>
    <t>OT-00409302</t>
  </si>
  <si>
    <t>OT-00409568</t>
  </si>
  <si>
    <t>OT-00381736</t>
  </si>
  <si>
    <t>OT-00386161</t>
  </si>
  <si>
    <t>OT-00388470</t>
  </si>
  <si>
    <t>OT-00383519</t>
  </si>
  <si>
    <t>OT-00388837</t>
  </si>
  <si>
    <t>OT-00390978</t>
  </si>
  <si>
    <t>OT-00392162</t>
  </si>
  <si>
    <t>OT-00393688</t>
  </si>
  <si>
    <t>OT-00394239</t>
  </si>
  <si>
    <t>OT-00397552</t>
  </si>
  <si>
    <t>OT-00398851</t>
  </si>
  <si>
    <t>OT-00398904</t>
  </si>
  <si>
    <t>OT-00399142</t>
  </si>
  <si>
    <t>OT-00400048</t>
  </si>
  <si>
    <t>OT-00402206</t>
  </si>
  <si>
    <t>OT-00402236</t>
  </si>
  <si>
    <t>OT-00402301</t>
  </si>
  <si>
    <t>OT-00402416</t>
  </si>
  <si>
    <t>OT-00403213</t>
  </si>
  <si>
    <t>OT-00403635</t>
  </si>
  <si>
    <t>OT-00404635</t>
  </si>
  <si>
    <t>OT-00405362</t>
  </si>
  <si>
    <t>OT-00405749</t>
  </si>
  <si>
    <t>OT-00405836</t>
  </si>
  <si>
    <t>OT-00407841</t>
  </si>
  <si>
    <t>OT-00388069</t>
  </si>
  <si>
    <t>OT-00390007</t>
  </si>
  <si>
    <t>OT-00390294</t>
  </si>
  <si>
    <t>OT-00398611</t>
  </si>
  <si>
    <t>OT-00399229</t>
  </si>
  <si>
    <t>OT-00400703</t>
  </si>
  <si>
    <t>OT-00402349</t>
  </si>
  <si>
    <t>OT-00403689</t>
  </si>
  <si>
    <t>OT-00404488</t>
  </si>
  <si>
    <t>OT-00405339</t>
  </si>
  <si>
    <t>OT-00407184</t>
  </si>
  <si>
    <t>OT-00386293</t>
  </si>
  <si>
    <t>OT-00391333</t>
  </si>
  <si>
    <t>OT-00393408</t>
  </si>
  <si>
    <t>OT-00393829</t>
  </si>
  <si>
    <t>OT-00402948</t>
  </si>
  <si>
    <t>OT-00404449</t>
  </si>
  <si>
    <t>OT-00413160</t>
  </si>
  <si>
    <t>OT-00386297</t>
  </si>
  <si>
    <t>OT-00388074</t>
  </si>
  <si>
    <t>OT-00384161</t>
  </si>
  <si>
    <t>OT-00398660</t>
  </si>
  <si>
    <t>OT-00398941</t>
  </si>
  <si>
    <t>OT-00399284</t>
  </si>
  <si>
    <t>OT-00407203</t>
  </si>
  <si>
    <t>OT-00411617</t>
  </si>
  <si>
    <t>OT-00412507</t>
  </si>
  <si>
    <t>OT-00414986</t>
  </si>
  <si>
    <t>OT-00388087</t>
  </si>
  <si>
    <t>OT-00388089</t>
  </si>
  <si>
    <t>OT-00371588</t>
  </si>
  <si>
    <t>OT-00371824</t>
  </si>
  <si>
    <t>OT-00383418</t>
  </si>
  <si>
    <t>OT-00390206</t>
  </si>
  <si>
    <t>OT-00393705</t>
  </si>
  <si>
    <t>OT-00412504</t>
  </si>
  <si>
    <t>OT-00412834</t>
  </si>
  <si>
    <t>OT-00414100</t>
  </si>
  <si>
    <t>OT-00426786</t>
  </si>
  <si>
    <t>OT-00429708</t>
  </si>
  <si>
    <t>OT-00386303</t>
  </si>
  <si>
    <t>OT-00386571</t>
  </si>
  <si>
    <t>OT-00386575</t>
  </si>
  <si>
    <t>OT-00388423</t>
  </si>
  <si>
    <t>Ductos</t>
  </si>
  <si>
    <t>OT-00399372</t>
  </si>
  <si>
    <t>OT-00400731</t>
  </si>
  <si>
    <t>OT-00411426</t>
  </si>
  <si>
    <t>OT-00411757</t>
  </si>
  <si>
    <t>OT-00429032</t>
  </si>
  <si>
    <t>OT-00386172</t>
  </si>
  <si>
    <t>OT-00386579</t>
  </si>
  <si>
    <t>OT-00388078</t>
  </si>
  <si>
    <t>OT-00393772</t>
  </si>
  <si>
    <t>OT-00397533</t>
  </si>
  <si>
    <t>OT-00386292</t>
  </si>
  <si>
    <t>OT-00385837</t>
  </si>
  <si>
    <t>OT-00434290</t>
  </si>
  <si>
    <t>OT-00435345</t>
  </si>
  <si>
    <t>OT-00435374</t>
  </si>
  <si>
    <t>OT-00435419</t>
  </si>
  <si>
    <t>OT-00435154</t>
  </si>
  <si>
    <t>OT-00435237</t>
  </si>
  <si>
    <t>OT-00435444</t>
  </si>
  <si>
    <t>OT-00436727</t>
  </si>
  <si>
    <t>OT-00440919</t>
  </si>
  <si>
    <t>OT-00441093</t>
  </si>
  <si>
    <t>OT-00441437</t>
  </si>
  <si>
    <t>OT-00441480</t>
  </si>
  <si>
    <t>OT-00441561</t>
  </si>
  <si>
    <t>OT-00437607</t>
  </si>
  <si>
    <t>OT-00439247</t>
  </si>
  <si>
    <t>OT-00439276</t>
  </si>
  <si>
    <t>OT-00439286</t>
  </si>
  <si>
    <t>OT-00439569</t>
  </si>
  <si>
    <t>OT-00439631</t>
  </si>
  <si>
    <t>OT-00439810</t>
  </si>
  <si>
    <t>OT-00440405</t>
  </si>
  <si>
    <t>OT-00440996</t>
  </si>
  <si>
    <t>OT-00441072</t>
  </si>
  <si>
    <t>OT-00441585</t>
  </si>
  <si>
    <t>OT-00442124</t>
  </si>
  <si>
    <t>OT-00372661</t>
  </si>
  <si>
    <t>OT-00407063</t>
  </si>
  <si>
    <t>OT-00435693</t>
  </si>
  <si>
    <t>OT-00436648</t>
  </si>
  <si>
    <t>OT-00436658</t>
  </si>
  <si>
    <t>OT-00440441</t>
  </si>
  <si>
    <t>OT-00440479</t>
  </si>
  <si>
    <t>OT-00444649</t>
  </si>
  <si>
    <t>OT-00444972</t>
  </si>
  <si>
    <t>OT-00447287</t>
  </si>
  <si>
    <t>OT-00436670</t>
  </si>
  <si>
    <t>OT-00436688</t>
  </si>
  <si>
    <t>OT-00406081</t>
  </si>
  <si>
    <t>OT-00410512</t>
  </si>
  <si>
    <t>OT</t>
  </si>
  <si>
    <t>Total días</t>
  </si>
  <si>
    <t>Días mes</t>
  </si>
  <si>
    <t>Servicio</t>
  </si>
  <si>
    <t>Q Total</t>
  </si>
  <si>
    <t>Alturas</t>
  </si>
  <si>
    <t>2024 (nueva Resolución. 7242 / 1-11-23)</t>
  </si>
  <si>
    <t>alto,moderado,incipiente</t>
  </si>
  <si>
    <t>bajo,limitado</t>
  </si>
  <si>
    <t>Poste menor o igual a 8m</t>
  </si>
  <si>
    <t>Poste mayor a 8m menor o igual a 10m</t>
  </si>
  <si>
    <t>Poste mayor a 10m</t>
  </si>
  <si>
    <t>Poste/Torre</t>
  </si>
  <si>
    <t>1 ducto de compartición</t>
  </si>
  <si>
    <t>2 ductos de compartición</t>
  </si>
  <si>
    <t>Infraestructura ELÉCTRICOS</t>
  </si>
  <si>
    <t>Infraestructura TELECOMUNICACIONES</t>
  </si>
  <si>
    <t>Desempeño municipios ---&gt;</t>
  </si>
  <si>
    <t>NIT</t>
  </si>
  <si>
    <t>NAN</t>
  </si>
  <si>
    <t>Telecomunicaciones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</si>
</sst>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  <numFmt numFmtId="165" formatCode="[$]d/mm/yy;@" x16r2:formatCode16="[$-en-CO,1]d/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" fontId="0" fillId="0" borderId="0" xfId="0" applyNumberForma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44" fontId="4" fillId="6" borderId="3" xfId="1" applyFont="1" applyFill="1" applyBorder="1" applyAlignment="1">
      <alignment horizontal="center" vertical="center" wrapText="1"/>
    </xf>
    <xf numFmtId="0" fontId="4" fillId="6" borderId="3" xfId="1" applyNumberFormat="1" applyFont="1" applyFill="1" applyBorder="1" applyAlignment="1">
      <alignment horizontal="center" vertical="center" wrapText="1"/>
    </xf>
    <xf numFmtId="17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CCFF"/>
      <color rgb="FFCCFFFF"/>
      <color rgb="FFFF66FF"/>
      <color rgb="FF66FF33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erly.correa/Documents/ONNET/Inventario/Zonas%20Operativas.xlsx" TargetMode="External"/><Relationship Id="rId1" Type="http://schemas.openxmlformats.org/officeDocument/2006/relationships/externalLinkPath" Target="file:///C:/Users/derly.correa/Documents/ONNET/Inventario/Zonas%20Operativa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rly_correa_onnetfibra_co/Documents/ONNET/Contratos/Contrato%20P&amp;D%20ColTel/0-Formatos/Resoluciones/Tarifas%202024_cluster%20municipios.xlsx" TargetMode="External"/><Relationship Id="rId2" Type="http://schemas.openxmlformats.org/officeDocument/2006/relationships/externalLinkPath" Target="https://onnetfibracolombiahotmail-my.sharepoint.com/personal/derly_correa_onnetfibra_co/Documents/ONNET/Contratos/Contrato%20P&amp;D%20ColTel/0-Formatos/Resoluciones/Tarifas%202024_cluster%20municipios.xlsx" TargetMode="External"/><Relationship Id="rId1" Type="http://schemas.openxmlformats.org/officeDocument/2006/relationships/externalLinkPath" Target="/personal/derly_correa_onnetfibra_co/Documents/ONNET/Contratos/Contrato%20P&amp;D%20ColTel/0-Formatos/Resoluciones/Tarifas%202024_cluster%20municipio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rly_correa_onnetfibra_co/Documents/ONNET/Contratos/2-Contrato%20P&amp;D/0-Formatos/Resoluciones/Tarifas%202024_cluster%20municipios.xlsx" TargetMode="External"/><Relationship Id="rId2" Type="http://schemas.openxmlformats.org/officeDocument/2006/relationships/externalLinkPath" Target="https://onnetfibracolombiahotmail-my.sharepoint.com/personal/derly_correa_onnetfibra_co/Documents/ONNET/Contratos/2-Contrato%20P&amp;D/0-Formatos/Resoluciones/Tarifas%202024_cluster%20municipios.xlsx" TargetMode="External"/><Relationship Id="rId1" Type="http://schemas.openxmlformats.org/officeDocument/2006/relationships/externalLinkPath" Target="/personal/derly_correa_onnetfibra_co/Documents/ONNET/Contratos/2-Contrato%20P&amp;D/0-Formatos/Resoluciones/Tarifas%202024_cluster%20munici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unas inciales"/>
      <sheetName val="Senior"/>
      <sheetName val="Din Comunas"/>
      <sheetName val="Comunas"/>
      <sheetName val="Senior_inicio"/>
      <sheetName val="Datos"/>
      <sheetName val="Din"/>
      <sheetName val="Hoja2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Comuna</v>
          </cell>
          <cell r="B1" t="str">
            <v>Zona Operativa</v>
          </cell>
          <cell r="C1" t="str">
            <v>Región</v>
          </cell>
          <cell r="D1" t="str">
            <v>Polígono</v>
          </cell>
          <cell r="E1" t="str">
            <v>Departamento</v>
          </cell>
        </row>
        <row r="2">
          <cell r="A2" t="str">
            <v>Bogota 1</v>
          </cell>
          <cell r="B2" t="str">
            <v>Bogota</v>
          </cell>
          <cell r="C2" t="str">
            <v>Bogota Norte</v>
          </cell>
          <cell r="D2" t="str">
            <v>Bogota 1</v>
          </cell>
          <cell r="E2" t="str">
            <v>Cundinamarca</v>
          </cell>
        </row>
        <row r="3">
          <cell r="A3" t="str">
            <v>Bogota 2</v>
          </cell>
          <cell r="B3" t="str">
            <v>Bogota</v>
          </cell>
          <cell r="C3" t="str">
            <v>Bogota Occidente</v>
          </cell>
          <cell r="D3" t="str">
            <v>Bogota 2</v>
          </cell>
          <cell r="E3" t="str">
            <v>Cundinamarca</v>
          </cell>
        </row>
        <row r="4">
          <cell r="A4" t="str">
            <v>Bogota 3</v>
          </cell>
          <cell r="B4" t="str">
            <v>Bogota</v>
          </cell>
          <cell r="C4" t="str">
            <v>Bogota Sur</v>
          </cell>
          <cell r="D4" t="str">
            <v>Bogota 3</v>
          </cell>
          <cell r="E4" t="str">
            <v>Cundinamarca</v>
          </cell>
        </row>
        <row r="5">
          <cell r="A5" t="str">
            <v>Cajica</v>
          </cell>
          <cell r="B5" t="str">
            <v>Bogota</v>
          </cell>
          <cell r="C5" t="str">
            <v>Bogota Norte</v>
          </cell>
          <cell r="D5" t="str">
            <v>Area Metropolitana 2</v>
          </cell>
          <cell r="E5" t="str">
            <v>Cundinamarca</v>
          </cell>
        </row>
        <row r="6">
          <cell r="A6" t="str">
            <v>Chia</v>
          </cell>
          <cell r="B6" t="str">
            <v>Bogota</v>
          </cell>
          <cell r="C6" t="str">
            <v>Bogota Norte</v>
          </cell>
          <cell r="D6" t="str">
            <v>Area Metropolitana 2</v>
          </cell>
          <cell r="E6" t="str">
            <v>Cundinamarca</v>
          </cell>
        </row>
        <row r="7">
          <cell r="A7" t="str">
            <v>Cota</v>
          </cell>
          <cell r="B7" t="str">
            <v>Bogota</v>
          </cell>
          <cell r="C7" t="str">
            <v>Bogota Norte</v>
          </cell>
          <cell r="D7" t="str">
            <v>Area Metropolitana 2</v>
          </cell>
          <cell r="E7" t="str">
            <v>Cundinamarca</v>
          </cell>
        </row>
        <row r="8">
          <cell r="A8" t="str">
            <v>Facatativa</v>
          </cell>
          <cell r="B8" t="str">
            <v>Bogota</v>
          </cell>
          <cell r="C8" t="str">
            <v>Bogota Occidente</v>
          </cell>
          <cell r="D8" t="str">
            <v>Area Metropolitana 3</v>
          </cell>
          <cell r="E8" t="str">
            <v>Cundinamarca</v>
          </cell>
        </row>
        <row r="9">
          <cell r="A9" t="str">
            <v>Funza</v>
          </cell>
          <cell r="B9" t="str">
            <v>Bogota</v>
          </cell>
          <cell r="C9" t="str">
            <v>Bogota Occidente</v>
          </cell>
          <cell r="D9" t="str">
            <v>Area Metropolitana 3</v>
          </cell>
          <cell r="E9" t="str">
            <v>Cundinamarca</v>
          </cell>
        </row>
        <row r="10">
          <cell r="A10" t="str">
            <v>Fusagasuga</v>
          </cell>
          <cell r="B10" t="str">
            <v>Bogota</v>
          </cell>
          <cell r="C10" t="str">
            <v>Bogota Occidente</v>
          </cell>
          <cell r="D10" t="str">
            <v>Area Metropolitana 3</v>
          </cell>
          <cell r="E10" t="str">
            <v>Cundinamarca</v>
          </cell>
        </row>
        <row r="11">
          <cell r="A11" t="str">
            <v>Girardot</v>
          </cell>
          <cell r="B11" t="str">
            <v>Bogota</v>
          </cell>
          <cell r="C11" t="str">
            <v>Bogota Occidente</v>
          </cell>
          <cell r="D11" t="str">
            <v>Area Metropolitana 3</v>
          </cell>
          <cell r="E11" t="str">
            <v>Cundinamarca</v>
          </cell>
        </row>
        <row r="12">
          <cell r="A12" t="str">
            <v>La Calera</v>
          </cell>
          <cell r="B12" t="str">
            <v>Bogota</v>
          </cell>
          <cell r="C12" t="str">
            <v>Bogota Norte</v>
          </cell>
          <cell r="D12" t="str">
            <v>Area Metropolitana 2</v>
          </cell>
          <cell r="E12" t="str">
            <v>Cundinamarca</v>
          </cell>
        </row>
        <row r="13">
          <cell r="A13" t="str">
            <v>La Mesa</v>
          </cell>
          <cell r="B13" t="str">
            <v>Bogota</v>
          </cell>
          <cell r="C13" t="str">
            <v>Bogota Occidente</v>
          </cell>
          <cell r="D13" t="str">
            <v>Area Metropolitana 3</v>
          </cell>
          <cell r="E13" t="str">
            <v>Cundinamarca</v>
          </cell>
        </row>
        <row r="14">
          <cell r="A14" t="str">
            <v>Madrid</v>
          </cell>
          <cell r="B14" t="str">
            <v>Bogota</v>
          </cell>
          <cell r="C14" t="str">
            <v>Bogota Occidente</v>
          </cell>
          <cell r="D14" t="str">
            <v>Area Metropolitana 3</v>
          </cell>
          <cell r="E14" t="str">
            <v>Cundinamarca</v>
          </cell>
        </row>
        <row r="15">
          <cell r="A15" t="str">
            <v>Mosquera</v>
          </cell>
          <cell r="B15" t="str">
            <v>Bogota</v>
          </cell>
          <cell r="C15" t="str">
            <v>Bogota Occidente</v>
          </cell>
          <cell r="D15" t="str">
            <v>Area Metropolitana 3</v>
          </cell>
          <cell r="E15" t="str">
            <v>Cundinamarca</v>
          </cell>
        </row>
        <row r="16">
          <cell r="A16" t="str">
            <v>Ricaurte</v>
          </cell>
          <cell r="B16" t="str">
            <v>Bogota</v>
          </cell>
          <cell r="C16" t="str">
            <v>Bogota Occidente</v>
          </cell>
          <cell r="D16" t="str">
            <v>Area Metropolitana 3</v>
          </cell>
          <cell r="E16" t="str">
            <v>Cundinamarca</v>
          </cell>
        </row>
        <row r="17">
          <cell r="A17" t="str">
            <v>Sibate</v>
          </cell>
          <cell r="B17" t="str">
            <v>Bogota</v>
          </cell>
          <cell r="C17" t="str">
            <v>Bogota Occidente</v>
          </cell>
          <cell r="D17" t="str">
            <v>Area Metropolitana 3</v>
          </cell>
          <cell r="E17" t="str">
            <v>Cundinamarca</v>
          </cell>
        </row>
        <row r="18">
          <cell r="A18" t="str">
            <v>Silvania</v>
          </cell>
          <cell r="B18" t="str">
            <v>Bogota</v>
          </cell>
          <cell r="C18" t="str">
            <v>Bogota Occidente</v>
          </cell>
          <cell r="D18" t="str">
            <v>Area Metropolitana 3</v>
          </cell>
          <cell r="E18" t="str">
            <v>Cundinamarca</v>
          </cell>
        </row>
        <row r="19">
          <cell r="A19" t="str">
            <v>Soacha</v>
          </cell>
          <cell r="B19" t="str">
            <v>Bogota</v>
          </cell>
          <cell r="C19" t="str">
            <v>Bogota Sur</v>
          </cell>
          <cell r="D19" t="str">
            <v>Area Metropolitana 1</v>
          </cell>
          <cell r="E19" t="str">
            <v>Cundinamarca</v>
          </cell>
        </row>
        <row r="20">
          <cell r="A20" t="str">
            <v>Sopo</v>
          </cell>
          <cell r="B20" t="str">
            <v>Bogota</v>
          </cell>
          <cell r="C20" t="str">
            <v>Bogota Norte</v>
          </cell>
          <cell r="D20" t="str">
            <v>Area Metropolitana 2</v>
          </cell>
          <cell r="E20" t="str">
            <v>Cundinamarca</v>
          </cell>
        </row>
        <row r="21">
          <cell r="A21" t="str">
            <v>Tabio</v>
          </cell>
          <cell r="B21" t="str">
            <v>Bogota</v>
          </cell>
          <cell r="C21" t="str">
            <v>Bogota Occidente</v>
          </cell>
          <cell r="D21" t="str">
            <v>Area Metropolitana 3</v>
          </cell>
          <cell r="E21" t="str">
            <v>Cundinamarca</v>
          </cell>
        </row>
        <row r="22">
          <cell r="A22" t="str">
            <v>Tenjo</v>
          </cell>
          <cell r="B22" t="str">
            <v>Bogota</v>
          </cell>
          <cell r="C22" t="str">
            <v>Bogota Occidente</v>
          </cell>
          <cell r="D22" t="str">
            <v>Area Metropolitana 3</v>
          </cell>
          <cell r="E22" t="str">
            <v>Cundinamarca</v>
          </cell>
        </row>
        <row r="23">
          <cell r="A23" t="str">
            <v>Tocancipa</v>
          </cell>
          <cell r="B23" t="str">
            <v>Bogota</v>
          </cell>
          <cell r="C23" t="str">
            <v>Bogota Norte</v>
          </cell>
          <cell r="D23" t="str">
            <v>Area Metropolitana 2</v>
          </cell>
          <cell r="E23" t="str">
            <v>Cundinamarca</v>
          </cell>
        </row>
        <row r="24">
          <cell r="A24" t="str">
            <v>Ubate</v>
          </cell>
          <cell r="B24" t="str">
            <v>Bogota</v>
          </cell>
          <cell r="C24" t="str">
            <v>Bogota Norte</v>
          </cell>
          <cell r="D24" t="str">
            <v>Area Metropolitana 2</v>
          </cell>
          <cell r="E24" t="str">
            <v>Cundinamarca</v>
          </cell>
        </row>
        <row r="25">
          <cell r="A25" t="str">
            <v>Villeta</v>
          </cell>
          <cell r="B25" t="str">
            <v>Bogota</v>
          </cell>
          <cell r="C25" t="str">
            <v>Bogota Occidente</v>
          </cell>
          <cell r="D25" t="str">
            <v>Area Metropolitana 3</v>
          </cell>
          <cell r="E25" t="str">
            <v>Cundinamarca</v>
          </cell>
        </row>
        <row r="26">
          <cell r="A26" t="str">
            <v>Zipaquira</v>
          </cell>
          <cell r="B26" t="str">
            <v>Bogota</v>
          </cell>
          <cell r="C26" t="str">
            <v>Bogota Norte</v>
          </cell>
          <cell r="D26" t="str">
            <v>Area Metropolitana 2</v>
          </cell>
          <cell r="E26" t="str">
            <v>Cundinamarca</v>
          </cell>
        </row>
        <row r="27">
          <cell r="A27" t="str">
            <v>Barranquilla</v>
          </cell>
          <cell r="B27" t="str">
            <v>Caribe</v>
          </cell>
          <cell r="C27" t="str">
            <v>Caribe</v>
          </cell>
          <cell r="D27" t="str">
            <v>Barranquilla</v>
          </cell>
          <cell r="E27" t="str">
            <v>Atlantico</v>
          </cell>
        </row>
        <row r="28">
          <cell r="A28" t="str">
            <v>Cartagena</v>
          </cell>
          <cell r="B28" t="str">
            <v>Caribe</v>
          </cell>
          <cell r="C28" t="str">
            <v>Caribe</v>
          </cell>
          <cell r="D28" t="str">
            <v>Bolivar (Cartagena/Turbaco)</v>
          </cell>
          <cell r="E28" t="str">
            <v>Bolivar</v>
          </cell>
        </row>
        <row r="29">
          <cell r="A29" t="str">
            <v>Maicao</v>
          </cell>
          <cell r="B29" t="str">
            <v>Caribe</v>
          </cell>
          <cell r="C29" t="str">
            <v>Caribe</v>
          </cell>
          <cell r="D29" t="str">
            <v>La Guajira (Riohacha/Maicao)</v>
          </cell>
          <cell r="E29" t="str">
            <v>La Guajira</v>
          </cell>
        </row>
        <row r="30">
          <cell r="A30" t="str">
            <v>Puerto Colombia</v>
          </cell>
          <cell r="B30" t="str">
            <v>Caribe</v>
          </cell>
          <cell r="C30" t="str">
            <v>Caribe</v>
          </cell>
          <cell r="D30" t="str">
            <v>Soledad/Puerto Colombia</v>
          </cell>
          <cell r="E30" t="str">
            <v>Atlantico</v>
          </cell>
        </row>
        <row r="31">
          <cell r="A31" t="str">
            <v>Riohacha</v>
          </cell>
          <cell r="B31" t="str">
            <v>Caribe</v>
          </cell>
          <cell r="C31" t="str">
            <v>Caribe</v>
          </cell>
          <cell r="D31" t="str">
            <v>La Guajira (Riohacha/Maicao)</v>
          </cell>
          <cell r="E31" t="str">
            <v>La Guajira</v>
          </cell>
        </row>
        <row r="32">
          <cell r="A32" t="str">
            <v>Santa Marta</v>
          </cell>
          <cell r="B32" t="str">
            <v>Caribe</v>
          </cell>
          <cell r="C32" t="str">
            <v>Caribe</v>
          </cell>
          <cell r="D32" t="str">
            <v>Magdalena (Santa Marta)</v>
          </cell>
          <cell r="E32" t="str">
            <v>Magdalena</v>
          </cell>
        </row>
        <row r="33">
          <cell r="A33" t="str">
            <v>Soledad</v>
          </cell>
          <cell r="B33" t="str">
            <v>Caribe</v>
          </cell>
          <cell r="C33" t="str">
            <v>Caribe</v>
          </cell>
          <cell r="D33" t="str">
            <v>Soledad/Puerto Colombia</v>
          </cell>
          <cell r="E33" t="str">
            <v>Atlantico</v>
          </cell>
        </row>
        <row r="34">
          <cell r="A34" t="str">
            <v>Turbaco</v>
          </cell>
          <cell r="B34" t="str">
            <v>Caribe</v>
          </cell>
          <cell r="C34" t="str">
            <v>Caribe</v>
          </cell>
          <cell r="D34" t="str">
            <v>Bolivar (Cartagena/Turbaco)</v>
          </cell>
          <cell r="E34" t="str">
            <v>Bolivar</v>
          </cell>
        </row>
        <row r="35">
          <cell r="A35" t="str">
            <v>Valledupar</v>
          </cell>
          <cell r="B35" t="str">
            <v>Caribe</v>
          </cell>
          <cell r="C35" t="str">
            <v>Caribe</v>
          </cell>
          <cell r="D35" t="str">
            <v>Cesar (Valledupar)</v>
          </cell>
          <cell r="E35" t="str">
            <v>Cesar</v>
          </cell>
        </row>
        <row r="36">
          <cell r="A36" t="str">
            <v>Bello</v>
          </cell>
          <cell r="B36" t="str">
            <v>Noroccidente</v>
          </cell>
          <cell r="C36" t="str">
            <v>Medellin + Noroccidente</v>
          </cell>
          <cell r="D36" t="str">
            <v>Am Antioquia</v>
          </cell>
          <cell r="E36" t="str">
            <v>Antioquia</v>
          </cell>
        </row>
        <row r="37">
          <cell r="A37" t="str">
            <v>Copacabana</v>
          </cell>
          <cell r="B37" t="str">
            <v>Noroccidente</v>
          </cell>
          <cell r="C37" t="str">
            <v>Medellin + Noroccidente</v>
          </cell>
          <cell r="D37" t="str">
            <v>Am Antioquia</v>
          </cell>
          <cell r="E37" t="str">
            <v>Antioquia</v>
          </cell>
        </row>
        <row r="38">
          <cell r="A38" t="str">
            <v>Guarne</v>
          </cell>
          <cell r="B38" t="str">
            <v>Noroccidente</v>
          </cell>
          <cell r="C38" t="str">
            <v>Medellin + Noroccidente</v>
          </cell>
          <cell r="D38" t="str">
            <v>Am Antioquia</v>
          </cell>
          <cell r="E38" t="str">
            <v>Antioquia</v>
          </cell>
        </row>
        <row r="39">
          <cell r="A39" t="str">
            <v>Itagui</v>
          </cell>
          <cell r="B39" t="str">
            <v>Noroccidente</v>
          </cell>
          <cell r="C39" t="str">
            <v>Medellin + Noroccidente</v>
          </cell>
          <cell r="D39" t="str">
            <v>Am Antioquia</v>
          </cell>
          <cell r="E39" t="str">
            <v>Antioquia</v>
          </cell>
        </row>
        <row r="40">
          <cell r="A40" t="str">
            <v>Marinilla</v>
          </cell>
          <cell r="B40" t="str">
            <v>Noroccidente</v>
          </cell>
          <cell r="C40" t="str">
            <v>Medellin + Noroccidente</v>
          </cell>
          <cell r="D40" t="str">
            <v>Am Antioquia</v>
          </cell>
          <cell r="E40" t="str">
            <v>Antioquia</v>
          </cell>
        </row>
        <row r="41">
          <cell r="A41" t="str">
            <v>Rionegro</v>
          </cell>
          <cell r="B41" t="str">
            <v>Noroccidente</v>
          </cell>
          <cell r="C41" t="str">
            <v>Medellin + Noroccidente</v>
          </cell>
          <cell r="D41" t="str">
            <v>Am Antioquia</v>
          </cell>
          <cell r="E41" t="str">
            <v>Antioquia</v>
          </cell>
        </row>
        <row r="42">
          <cell r="A42" t="str">
            <v>La Dorada</v>
          </cell>
          <cell r="B42" t="str">
            <v>Noroccidente</v>
          </cell>
          <cell r="C42" t="str">
            <v>Eje cafetero</v>
          </cell>
          <cell r="D42" t="str">
            <v>Caldas (Manizales/La Dorada)</v>
          </cell>
          <cell r="E42" t="str">
            <v>Caldas</v>
          </cell>
        </row>
        <row r="43">
          <cell r="A43" t="str">
            <v>Manizales</v>
          </cell>
          <cell r="B43" t="str">
            <v>Noroccidente</v>
          </cell>
          <cell r="C43" t="str">
            <v>Eje cafetero</v>
          </cell>
          <cell r="D43" t="str">
            <v>Caldas (Manizales/La Dorada)</v>
          </cell>
          <cell r="E43" t="str">
            <v>Caldas</v>
          </cell>
        </row>
        <row r="44">
          <cell r="A44" t="str">
            <v>Cerete</v>
          </cell>
          <cell r="B44" t="str">
            <v>Noroccidente</v>
          </cell>
          <cell r="C44" t="str">
            <v>Medellin + Noroccidente</v>
          </cell>
          <cell r="D44" t="str">
            <v>Cordoba (Monteria/Cerete)</v>
          </cell>
          <cell r="E44" t="str">
            <v>Cordoba</v>
          </cell>
        </row>
        <row r="45">
          <cell r="A45" t="str">
            <v>Monteria</v>
          </cell>
          <cell r="B45" t="str">
            <v>Noroccidente</v>
          </cell>
          <cell r="C45" t="str">
            <v>Medellin + Noroccidente</v>
          </cell>
          <cell r="D45" t="str">
            <v>Cordoba (Monteria/Cerete)</v>
          </cell>
          <cell r="E45" t="str">
            <v>Cordoba</v>
          </cell>
        </row>
        <row r="46">
          <cell r="A46" t="str">
            <v>Medellin</v>
          </cell>
          <cell r="B46" t="str">
            <v>Noroccidente</v>
          </cell>
          <cell r="C46" t="str">
            <v>Medellin + Noroccidente</v>
          </cell>
          <cell r="D46" t="str">
            <v>Medellin</v>
          </cell>
          <cell r="E46" t="str">
            <v>Antioquia</v>
          </cell>
        </row>
        <row r="47">
          <cell r="A47" t="str">
            <v>Armenia</v>
          </cell>
          <cell r="B47" t="str">
            <v>Noroccidente</v>
          </cell>
          <cell r="C47" t="str">
            <v>Eje cafetero</v>
          </cell>
          <cell r="D47" t="str">
            <v>Quindio (Armenia/Calarca)</v>
          </cell>
          <cell r="E47" t="str">
            <v>Quindio</v>
          </cell>
        </row>
        <row r="48">
          <cell r="A48" t="str">
            <v>Calarca</v>
          </cell>
          <cell r="B48" t="str">
            <v>Noroccidente</v>
          </cell>
          <cell r="C48" t="str">
            <v>Eje cafetero</v>
          </cell>
          <cell r="D48" t="str">
            <v>Quindio (Armenia/Calarca)</v>
          </cell>
          <cell r="E48" t="str">
            <v>Quindio</v>
          </cell>
        </row>
        <row r="49">
          <cell r="A49" t="str">
            <v>Dosquebradas</v>
          </cell>
          <cell r="B49" t="str">
            <v>Noroccidente</v>
          </cell>
          <cell r="C49" t="str">
            <v>Eje cafetero</v>
          </cell>
          <cell r="D49" t="str">
            <v>Risaralda</v>
          </cell>
          <cell r="E49" t="str">
            <v>Risaralda</v>
          </cell>
        </row>
        <row r="50">
          <cell r="A50" t="str">
            <v>Pereira</v>
          </cell>
          <cell r="B50" t="str">
            <v>Noroccidente</v>
          </cell>
          <cell r="C50" t="str">
            <v>Eje cafetero</v>
          </cell>
          <cell r="D50" t="str">
            <v>Risaralda</v>
          </cell>
          <cell r="E50" t="str">
            <v>Risaralda</v>
          </cell>
        </row>
        <row r="51">
          <cell r="A51" t="str">
            <v>Santa Rosa De Cabal</v>
          </cell>
          <cell r="B51" t="str">
            <v>Noroccidente</v>
          </cell>
          <cell r="C51" t="str">
            <v>Eje cafetero</v>
          </cell>
          <cell r="D51" t="str">
            <v>Risaralda</v>
          </cell>
          <cell r="E51" t="str">
            <v>Risaralda</v>
          </cell>
        </row>
        <row r="52">
          <cell r="A52" t="str">
            <v>Sincelejo</v>
          </cell>
          <cell r="B52" t="str">
            <v>Noroccidente</v>
          </cell>
          <cell r="C52" t="str">
            <v>Medellin + Noroccidente</v>
          </cell>
          <cell r="D52" t="str">
            <v>Sucre</v>
          </cell>
          <cell r="E52" t="str">
            <v>Sucre</v>
          </cell>
        </row>
        <row r="53">
          <cell r="A53" t="str">
            <v>Ibague</v>
          </cell>
          <cell r="B53" t="str">
            <v>Noroccidente</v>
          </cell>
          <cell r="C53" t="str">
            <v>Eje cafetero</v>
          </cell>
          <cell r="D53" t="str">
            <v>Tolima (Ibague)</v>
          </cell>
          <cell r="E53" t="str">
            <v>Tolima</v>
          </cell>
        </row>
        <row r="54">
          <cell r="A54" t="str">
            <v>Espinal</v>
          </cell>
          <cell r="B54" t="str">
            <v>Noroccidente</v>
          </cell>
          <cell r="C54" t="str">
            <v>Eje cafetero</v>
          </cell>
          <cell r="D54" t="str">
            <v>Tolima (Otros)</v>
          </cell>
          <cell r="E54" t="str">
            <v>Tolima</v>
          </cell>
        </row>
        <row r="55">
          <cell r="A55" t="str">
            <v>Honda</v>
          </cell>
          <cell r="B55" t="str">
            <v>Noroccidente</v>
          </cell>
          <cell r="C55" t="str">
            <v>Eje cafetero</v>
          </cell>
          <cell r="D55" t="str">
            <v>Tolima (Otros)</v>
          </cell>
          <cell r="E55" t="str">
            <v>Tolima</v>
          </cell>
        </row>
        <row r="56">
          <cell r="A56" t="str">
            <v>Mariquita</v>
          </cell>
          <cell r="B56" t="str">
            <v>Noroccidente</v>
          </cell>
          <cell r="C56" t="str">
            <v>Eje cafetero</v>
          </cell>
          <cell r="D56" t="str">
            <v>Tolima (Otros)</v>
          </cell>
          <cell r="E56" t="str">
            <v>Tolima</v>
          </cell>
        </row>
        <row r="57">
          <cell r="A57" t="str">
            <v>Melgar</v>
          </cell>
          <cell r="B57" t="str">
            <v>Noroccidente</v>
          </cell>
          <cell r="C57" t="str">
            <v>Eje cafetero</v>
          </cell>
          <cell r="D57" t="str">
            <v>Tolima (Otros)</v>
          </cell>
          <cell r="E57" t="str">
            <v>Tolima</v>
          </cell>
        </row>
        <row r="58">
          <cell r="A58" t="str">
            <v>Duitama</v>
          </cell>
          <cell r="B58" t="str">
            <v>Oriente</v>
          </cell>
          <cell r="C58" t="str">
            <v>Oriente</v>
          </cell>
          <cell r="D58" t="str">
            <v>Boyaca (Sogamoso, Tunja, Duitama)</v>
          </cell>
          <cell r="E58" t="str">
            <v>Boyaca</v>
          </cell>
        </row>
        <row r="59">
          <cell r="A59" t="str">
            <v>Sogamoso</v>
          </cell>
          <cell r="B59" t="str">
            <v>Oriente</v>
          </cell>
          <cell r="C59" t="str">
            <v>Oriente</v>
          </cell>
          <cell r="D59" t="str">
            <v>Boyaca (Sogamoso, Tunja, Duitama)</v>
          </cell>
          <cell r="E59" t="str">
            <v>Boyaca</v>
          </cell>
        </row>
        <row r="60">
          <cell r="A60" t="str">
            <v>Tunja</v>
          </cell>
          <cell r="B60" t="str">
            <v>Oriente</v>
          </cell>
          <cell r="C60" t="str">
            <v>Oriente</v>
          </cell>
          <cell r="D60" t="str">
            <v>Boyaca (Sogamoso, Tunja, Duitama)</v>
          </cell>
          <cell r="E60" t="str">
            <v>Boyaca</v>
          </cell>
        </row>
        <row r="61">
          <cell r="A61" t="str">
            <v>Yopal</v>
          </cell>
          <cell r="B61" t="str">
            <v>Oriente</v>
          </cell>
          <cell r="C61" t="str">
            <v>Oriente</v>
          </cell>
          <cell r="D61" t="str">
            <v>Casanare (Yopal)</v>
          </cell>
          <cell r="E61" t="str">
            <v>Casanare</v>
          </cell>
        </row>
        <row r="62">
          <cell r="A62" t="str">
            <v>Acacias</v>
          </cell>
          <cell r="B62" t="str">
            <v>Oriente</v>
          </cell>
          <cell r="C62" t="str">
            <v>Oriente</v>
          </cell>
          <cell r="D62" t="str">
            <v>Meta (Villavicencio/Acacias)</v>
          </cell>
          <cell r="E62" t="str">
            <v>Meta</v>
          </cell>
        </row>
        <row r="63">
          <cell r="A63" t="str">
            <v>Villavicencio</v>
          </cell>
          <cell r="B63" t="str">
            <v>Oriente</v>
          </cell>
          <cell r="C63" t="str">
            <v>Oriente</v>
          </cell>
          <cell r="D63" t="str">
            <v>Meta (Villavicencio/Acacias)</v>
          </cell>
          <cell r="E63" t="str">
            <v>Meta</v>
          </cell>
        </row>
        <row r="64">
          <cell r="A64" t="str">
            <v>Los Patios</v>
          </cell>
          <cell r="B64" t="str">
            <v>Oriente</v>
          </cell>
          <cell r="C64" t="str">
            <v>Oriente</v>
          </cell>
          <cell r="D64" t="str">
            <v>Norte De Santander (Area Metrop.)</v>
          </cell>
          <cell r="E64" t="str">
            <v>Norte de Santander</v>
          </cell>
        </row>
        <row r="65">
          <cell r="A65" t="str">
            <v>Ocaña</v>
          </cell>
          <cell r="B65" t="str">
            <v>Oriente</v>
          </cell>
          <cell r="C65" t="str">
            <v>Oriente</v>
          </cell>
          <cell r="D65" t="str">
            <v>Norte De Santander (Area Metrop.)</v>
          </cell>
          <cell r="E65" t="str">
            <v>Norte de Santander</v>
          </cell>
        </row>
        <row r="66">
          <cell r="A66" t="str">
            <v>Villa Del Rosario</v>
          </cell>
          <cell r="B66" t="str">
            <v>Oriente</v>
          </cell>
          <cell r="C66" t="str">
            <v>Oriente</v>
          </cell>
          <cell r="D66" t="str">
            <v>Norte De Santander (Area Metrop.)</v>
          </cell>
          <cell r="E66" t="str">
            <v>Norte de Santander</v>
          </cell>
        </row>
        <row r="67">
          <cell r="A67" t="str">
            <v>Cucuta</v>
          </cell>
          <cell r="B67" t="str">
            <v>Oriente</v>
          </cell>
          <cell r="C67" t="str">
            <v>Oriente</v>
          </cell>
          <cell r="D67" t="str">
            <v>Norte De Santander (Cucuta)</v>
          </cell>
          <cell r="E67" t="str">
            <v>Norte de Santander</v>
          </cell>
        </row>
        <row r="68">
          <cell r="A68" t="str">
            <v>Floridablanca</v>
          </cell>
          <cell r="B68" t="str">
            <v>Oriente</v>
          </cell>
          <cell r="C68" t="str">
            <v>Oriente</v>
          </cell>
          <cell r="D68" t="str">
            <v>Santander (Area Metropolitana 1)</v>
          </cell>
          <cell r="E68" t="str">
            <v>Santander</v>
          </cell>
        </row>
        <row r="69">
          <cell r="A69" t="str">
            <v>Giron</v>
          </cell>
          <cell r="B69" t="str">
            <v>Oriente</v>
          </cell>
          <cell r="C69" t="str">
            <v>Oriente</v>
          </cell>
          <cell r="D69" t="str">
            <v>Santander (Area Metropolitana 1)</v>
          </cell>
          <cell r="E69" t="str">
            <v>Santander</v>
          </cell>
        </row>
        <row r="70">
          <cell r="A70" t="str">
            <v>Piedecuesta</v>
          </cell>
          <cell r="B70" t="str">
            <v>Oriente</v>
          </cell>
          <cell r="C70" t="str">
            <v>Oriente</v>
          </cell>
          <cell r="D70" t="str">
            <v>Santander (Area Metropolitana 1)</v>
          </cell>
          <cell r="E70" t="str">
            <v>Santander</v>
          </cell>
        </row>
        <row r="71">
          <cell r="A71" t="str">
            <v>Barrancabermeja</v>
          </cell>
          <cell r="B71" t="str">
            <v>Oriente</v>
          </cell>
          <cell r="C71" t="str">
            <v>Oriente</v>
          </cell>
          <cell r="D71" t="str">
            <v>Santander (Area Metropolitana 2)</v>
          </cell>
          <cell r="E71" t="str">
            <v>Santander</v>
          </cell>
        </row>
        <row r="72">
          <cell r="A72" t="str">
            <v>San Gil</v>
          </cell>
          <cell r="B72" t="str">
            <v>Oriente</v>
          </cell>
          <cell r="C72" t="str">
            <v>Oriente</v>
          </cell>
          <cell r="D72" t="str">
            <v>Santander (Area Metropolitana 2)</v>
          </cell>
          <cell r="E72" t="str">
            <v>Santander</v>
          </cell>
        </row>
        <row r="73">
          <cell r="A73" t="str">
            <v>Socorro</v>
          </cell>
          <cell r="B73" t="str">
            <v>Oriente</v>
          </cell>
          <cell r="C73" t="str">
            <v>Oriente</v>
          </cell>
          <cell r="D73" t="str">
            <v>Santander (Area Metropolitana 2)</v>
          </cell>
          <cell r="E73" t="str">
            <v>Santander</v>
          </cell>
        </row>
        <row r="74">
          <cell r="A74" t="str">
            <v>Bucaramanga</v>
          </cell>
          <cell r="B74" t="str">
            <v>Oriente</v>
          </cell>
          <cell r="C74" t="str">
            <v>Oriente</v>
          </cell>
          <cell r="D74" t="str">
            <v>Santander (Bucaramanga)</v>
          </cell>
          <cell r="E74" t="str">
            <v>Santander</v>
          </cell>
        </row>
        <row r="75">
          <cell r="A75" t="str">
            <v>Cali</v>
          </cell>
          <cell r="B75" t="str">
            <v>Suroccidente</v>
          </cell>
          <cell r="C75" t="str">
            <v>Valle</v>
          </cell>
          <cell r="D75" t="str">
            <v>Cali</v>
          </cell>
          <cell r="E75" t="str">
            <v>Valle del Cauca</v>
          </cell>
        </row>
        <row r="76">
          <cell r="A76" t="str">
            <v>Florencia</v>
          </cell>
          <cell r="B76" t="str">
            <v>Suroccidente</v>
          </cell>
          <cell r="C76" t="str">
            <v>Sur</v>
          </cell>
          <cell r="D76" t="str">
            <v>Caqueta (Florencia)</v>
          </cell>
          <cell r="E76" t="str">
            <v>Caqueta</v>
          </cell>
        </row>
        <row r="77">
          <cell r="A77" t="str">
            <v>Popayan</v>
          </cell>
          <cell r="B77" t="str">
            <v>Suroccidente</v>
          </cell>
          <cell r="C77" t="str">
            <v>Sur</v>
          </cell>
          <cell r="D77" t="str">
            <v>Cauca (Popayan/Sant. Quilichao)</v>
          </cell>
          <cell r="E77" t="str">
            <v>Cauca</v>
          </cell>
        </row>
        <row r="78">
          <cell r="A78" t="str">
            <v>Santander De Quilichao</v>
          </cell>
          <cell r="B78" t="str">
            <v>Suroccidente</v>
          </cell>
          <cell r="C78" t="str">
            <v>Sur</v>
          </cell>
          <cell r="D78" t="str">
            <v>Cauca (Popayan/Sant. Quilichao)</v>
          </cell>
          <cell r="E78" t="str">
            <v>Cauca</v>
          </cell>
        </row>
        <row r="79">
          <cell r="A79" t="str">
            <v>Neiva</v>
          </cell>
          <cell r="B79" t="str">
            <v>Suroccidente</v>
          </cell>
          <cell r="C79" t="str">
            <v>Sur</v>
          </cell>
          <cell r="D79" t="str">
            <v>Huila (Neiva)</v>
          </cell>
          <cell r="E79" t="str">
            <v>Huila</v>
          </cell>
        </row>
        <row r="80">
          <cell r="A80" t="str">
            <v>Garzon</v>
          </cell>
          <cell r="B80" t="str">
            <v>Suroccidente</v>
          </cell>
          <cell r="C80" t="str">
            <v>Sur</v>
          </cell>
          <cell r="D80" t="str">
            <v>Huila (Pitalito/Garzon)</v>
          </cell>
          <cell r="E80" t="str">
            <v>Huila</v>
          </cell>
        </row>
        <row r="81">
          <cell r="A81" t="str">
            <v>Pitalito</v>
          </cell>
          <cell r="B81" t="str">
            <v>Suroccidente</v>
          </cell>
          <cell r="C81" t="str">
            <v>Sur</v>
          </cell>
          <cell r="D81" t="str">
            <v>Huila (Pitalito/Garzon)</v>
          </cell>
          <cell r="E81" t="str">
            <v>Huila</v>
          </cell>
        </row>
        <row r="82">
          <cell r="A82" t="str">
            <v>Ipiales</v>
          </cell>
          <cell r="B82" t="str">
            <v>Suroccidente</v>
          </cell>
          <cell r="C82" t="str">
            <v>Sur</v>
          </cell>
          <cell r="D82" t="str">
            <v>Nariño (Pasto/Ipiales)</v>
          </cell>
          <cell r="E82" t="str">
            <v>Nariño</v>
          </cell>
        </row>
        <row r="83">
          <cell r="A83" t="str">
            <v>Pasto</v>
          </cell>
          <cell r="B83" t="str">
            <v>Suroccidente</v>
          </cell>
          <cell r="C83" t="str">
            <v>Sur</v>
          </cell>
          <cell r="D83" t="str">
            <v>Nariño (Pasto/Ipiales)</v>
          </cell>
          <cell r="E83" t="str">
            <v>Nariño</v>
          </cell>
        </row>
        <row r="84">
          <cell r="A84" t="str">
            <v>Buenaventura</v>
          </cell>
          <cell r="B84" t="str">
            <v>Suroccidente</v>
          </cell>
          <cell r="C84" t="str">
            <v>Valle</v>
          </cell>
          <cell r="D84" t="str">
            <v>Valle Del Cauca (Metropolitana)</v>
          </cell>
          <cell r="E84" t="str">
            <v>Valle del Cauca</v>
          </cell>
        </row>
        <row r="85">
          <cell r="A85" t="str">
            <v>Buga</v>
          </cell>
          <cell r="B85" t="str">
            <v>Suroccidente</v>
          </cell>
          <cell r="C85" t="str">
            <v>Valle</v>
          </cell>
          <cell r="D85" t="str">
            <v>Valle Del Cauca (Metropolitana)</v>
          </cell>
          <cell r="E85" t="str">
            <v>Valle del Cauca</v>
          </cell>
        </row>
        <row r="86">
          <cell r="A86" t="str">
            <v>Candelaria</v>
          </cell>
          <cell r="B86" t="str">
            <v>Suroccidente</v>
          </cell>
          <cell r="C86" t="str">
            <v>Valle</v>
          </cell>
          <cell r="D86" t="str">
            <v>Valle Del Cauca (Metropolitana)</v>
          </cell>
          <cell r="E86" t="str">
            <v>Valle del Cauca</v>
          </cell>
        </row>
        <row r="87">
          <cell r="A87" t="str">
            <v>Cartago</v>
          </cell>
          <cell r="B87" t="str">
            <v>Suroccidente</v>
          </cell>
          <cell r="C87" t="str">
            <v>Valle</v>
          </cell>
          <cell r="D87" t="str">
            <v>Valle Del Cauca (Metropolitana)</v>
          </cell>
          <cell r="E87" t="str">
            <v>Valle del Cauca</v>
          </cell>
        </row>
        <row r="88">
          <cell r="A88" t="str">
            <v>Jamundi</v>
          </cell>
          <cell r="B88" t="str">
            <v>Suroccidente</v>
          </cell>
          <cell r="C88" t="str">
            <v>Valle</v>
          </cell>
          <cell r="D88" t="str">
            <v>Valle Del Cauca (Metropolitana)</v>
          </cell>
          <cell r="E88" t="str">
            <v>Valle del Cauca</v>
          </cell>
        </row>
        <row r="89">
          <cell r="A89" t="str">
            <v>Palmira</v>
          </cell>
          <cell r="B89" t="str">
            <v>Suroccidente</v>
          </cell>
          <cell r="C89" t="str">
            <v>Valle</v>
          </cell>
          <cell r="D89" t="str">
            <v>Valle Del Cauca (Metropolitana)</v>
          </cell>
          <cell r="E89" t="str">
            <v>Valle del Cauca</v>
          </cell>
        </row>
        <row r="90">
          <cell r="A90" t="str">
            <v>Tulua</v>
          </cell>
          <cell r="B90" t="str">
            <v>Suroccidente</v>
          </cell>
          <cell r="C90" t="str">
            <v>Valle</v>
          </cell>
          <cell r="D90" t="str">
            <v>Valle Del Cauca (Metropolitana)</v>
          </cell>
          <cell r="E90" t="str">
            <v>Valle del Cauca</v>
          </cell>
        </row>
        <row r="91">
          <cell r="A91" t="str">
            <v>Yumbo</v>
          </cell>
          <cell r="B91" t="str">
            <v>Suroccidente</v>
          </cell>
          <cell r="C91" t="str">
            <v>Valle</v>
          </cell>
          <cell r="D91" t="str">
            <v>Valle Del Cauca (Metropolitana)</v>
          </cell>
          <cell r="E91" t="str">
            <v>Valle del Cauca</v>
          </cell>
        </row>
        <row r="92">
          <cell r="A92" t="str">
            <v>Pamplona</v>
          </cell>
          <cell r="B92" t="str">
            <v>Oriente</v>
          </cell>
          <cell r="C92" t="str">
            <v>Oriente</v>
          </cell>
          <cell r="D92" t="str">
            <v>Norte De Santander (Area Metrop.)</v>
          </cell>
          <cell r="E92" t="str">
            <v>Norte de Santander</v>
          </cell>
        </row>
        <row r="93">
          <cell r="A93" t="str">
            <v>Cienaga</v>
          </cell>
          <cell r="B93" t="str">
            <v>Caribe</v>
          </cell>
          <cell r="C93" t="str">
            <v>Caribe</v>
          </cell>
          <cell r="D93" t="str">
            <v>Magdalena (Santa Marta)</v>
          </cell>
          <cell r="E93" t="str">
            <v>Magdalena</v>
          </cell>
        </row>
        <row r="94">
          <cell r="A94" t="str">
            <v>Aguachica</v>
          </cell>
          <cell r="B94" t="str">
            <v>Caribe</v>
          </cell>
          <cell r="C94" t="str">
            <v>Caribe</v>
          </cell>
          <cell r="D94" t="str">
            <v>Cesar (Valledupar)</v>
          </cell>
          <cell r="E94" t="str">
            <v>Cesar</v>
          </cell>
        </row>
        <row r="95">
          <cell r="A95" t="str">
            <v>Arauca</v>
          </cell>
          <cell r="B95" t="str">
            <v>Oriente</v>
          </cell>
          <cell r="C95" t="str">
            <v>Oriente</v>
          </cell>
          <cell r="D95" t="str">
            <v>Arauca</v>
          </cell>
          <cell r="E95" t="str">
            <v>Oriente</v>
          </cell>
        </row>
        <row r="96">
          <cell r="A96" t="str">
            <v>Barbosa</v>
          </cell>
          <cell r="B96" t="str">
            <v>Oriente</v>
          </cell>
          <cell r="C96" t="str">
            <v>Oriente</v>
          </cell>
          <cell r="D96" t="str">
            <v>Santander</v>
          </cell>
          <cell r="E96" t="str">
            <v>Oriente</v>
          </cell>
        </row>
        <row r="97">
          <cell r="A97" t="str">
            <v>Quibdó</v>
          </cell>
          <cell r="B97" t="str">
            <v>Suroccidente</v>
          </cell>
          <cell r="C97" t="str">
            <v>Sur</v>
          </cell>
          <cell r="D97" t="str">
            <v>Chocó</v>
          </cell>
          <cell r="E97" t="str">
            <v>Sur</v>
          </cell>
        </row>
        <row r="98">
          <cell r="A98" t="str">
            <v>Sabana de Torres</v>
          </cell>
          <cell r="B98" t="str">
            <v>Oriente</v>
          </cell>
          <cell r="C98" t="str">
            <v>Oriente</v>
          </cell>
          <cell r="D98" t="str">
            <v>Santander</v>
          </cell>
          <cell r="E98" t="str">
            <v>Oriente</v>
          </cell>
        </row>
        <row r="99">
          <cell r="A99" t="str">
            <v>San Andres</v>
          </cell>
          <cell r="B99" t="str">
            <v>Caribe</v>
          </cell>
          <cell r="C99" t="str">
            <v>Caribe</v>
          </cell>
          <cell r="D99" t="str">
            <v>San Andres</v>
          </cell>
          <cell r="E99" t="str">
            <v>Caribe</v>
          </cell>
        </row>
        <row r="100">
          <cell r="A100" t="str">
            <v>San Jose del Guaviare</v>
          </cell>
          <cell r="B100" t="str">
            <v>Oriente</v>
          </cell>
          <cell r="C100" t="str">
            <v>Oriente</v>
          </cell>
          <cell r="D100" t="str">
            <v>Guaviare</v>
          </cell>
          <cell r="E100" t="str">
            <v>Oriente</v>
          </cell>
        </row>
        <row r="101">
          <cell r="A101" t="str">
            <v>Tumaco</v>
          </cell>
          <cell r="B101" t="str">
            <v>Suroccidente</v>
          </cell>
          <cell r="C101" t="str">
            <v>Sur</v>
          </cell>
          <cell r="D101" t="str">
            <v>Nariño (Pasto/Ipiales)</v>
          </cell>
          <cell r="E101" t="str">
            <v>Sur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USTER_MUNICIPIOS"/>
      <sheetName val="INF_ELECTRICA_7"/>
      <sheetName val="INF_TELCO_7"/>
      <sheetName val="CLUSTER_MUNICIPIOS tarifas"/>
    </sheetNames>
    <sheetDataSet>
      <sheetData sheetId="0" refreshError="1"/>
      <sheetData sheetId="1" refreshError="1"/>
      <sheetData sheetId="2" refreshError="1"/>
      <sheetData sheetId="3" refreshError="1">
        <row r="2">
          <cell r="D2" t="str">
            <v>DepartamentoMunicipio</v>
          </cell>
          <cell r="E2" t="str">
            <v>Clasificación por desempeño</v>
          </cell>
        </row>
        <row r="3">
          <cell r="D3" t="str">
            <v>AntioquiaMedellin</v>
          </cell>
          <cell r="E3" t="str">
            <v>Alto</v>
          </cell>
        </row>
        <row r="4">
          <cell r="D4" t="str">
            <v>AntioquiaAbejorral</v>
          </cell>
          <cell r="E4" t="str">
            <v>Incipiente</v>
          </cell>
        </row>
        <row r="5">
          <cell r="D5" t="str">
            <v>AntioquiaAbriaquí</v>
          </cell>
          <cell r="E5" t="str">
            <v>Bajo</v>
          </cell>
        </row>
        <row r="6">
          <cell r="D6" t="str">
            <v>AntioquiaAlejandría</v>
          </cell>
          <cell r="E6" t="str">
            <v>Limitado</v>
          </cell>
        </row>
        <row r="7">
          <cell r="D7" t="str">
            <v>AntioquiaAmagá</v>
          </cell>
          <cell r="E7" t="str">
            <v>Incipiente</v>
          </cell>
        </row>
        <row r="8">
          <cell r="D8" t="str">
            <v>AntioquiaAmalfi</v>
          </cell>
          <cell r="E8" t="str">
            <v>Limitado</v>
          </cell>
        </row>
        <row r="9">
          <cell r="D9" t="str">
            <v>AntioquiaAndes</v>
          </cell>
          <cell r="E9" t="str">
            <v>Bajo</v>
          </cell>
        </row>
        <row r="10">
          <cell r="D10" t="str">
            <v>AntioquiaAngelópolis</v>
          </cell>
          <cell r="E10" t="str">
            <v>Bajo</v>
          </cell>
        </row>
        <row r="11">
          <cell r="D11" t="str">
            <v>AntioquiaAngostura</v>
          </cell>
          <cell r="E11" t="str">
            <v>Limitado</v>
          </cell>
        </row>
        <row r="12">
          <cell r="D12" t="str">
            <v>AntioquiaAnorí</v>
          </cell>
          <cell r="E12" t="str">
            <v>Limitado</v>
          </cell>
        </row>
        <row r="13">
          <cell r="D13" t="str">
            <v>AntioquiaSantafé de Antioquia</v>
          </cell>
          <cell r="E13" t="str">
            <v>Incipiente</v>
          </cell>
        </row>
        <row r="14">
          <cell r="D14" t="str">
            <v>AntioquiaAnzá</v>
          </cell>
          <cell r="E14" t="str">
            <v>Limitado</v>
          </cell>
        </row>
        <row r="15">
          <cell r="D15" t="str">
            <v>AntioquiaApartadó</v>
          </cell>
          <cell r="E15" t="str">
            <v>Moderado</v>
          </cell>
        </row>
        <row r="16">
          <cell r="D16" t="str">
            <v>AntioquiaArboletes</v>
          </cell>
          <cell r="E16" t="str">
            <v>Bajo</v>
          </cell>
        </row>
        <row r="17">
          <cell r="D17" t="str">
            <v>AntioquiaArgelia</v>
          </cell>
          <cell r="E17" t="str">
            <v>Limitado</v>
          </cell>
        </row>
        <row r="18">
          <cell r="D18" t="str">
            <v>AntioquiaArmenia</v>
          </cell>
          <cell r="E18" t="str">
            <v>Incipiente</v>
          </cell>
        </row>
        <row r="19">
          <cell r="D19" t="str">
            <v>AntioquiaBarbosa</v>
          </cell>
          <cell r="E19" t="str">
            <v>Incipiente</v>
          </cell>
        </row>
        <row r="20">
          <cell r="D20" t="str">
            <v>AntioquiaBelmira</v>
          </cell>
          <cell r="E20" t="str">
            <v>Bajo</v>
          </cell>
        </row>
        <row r="21">
          <cell r="D21" t="str">
            <v>AntioquiaBello</v>
          </cell>
          <cell r="E21" t="str">
            <v>Alto</v>
          </cell>
        </row>
        <row r="22">
          <cell r="D22" t="str">
            <v>AntioquiaBetania</v>
          </cell>
          <cell r="E22" t="str">
            <v>Bajo</v>
          </cell>
        </row>
        <row r="23">
          <cell r="D23" t="str">
            <v>AntioquiaBetulia</v>
          </cell>
          <cell r="E23" t="str">
            <v>Bajo</v>
          </cell>
        </row>
        <row r="24">
          <cell r="D24" t="str">
            <v>AntioquiaCiudad Bolívar</v>
          </cell>
          <cell r="E24" t="str">
            <v>Incipiente</v>
          </cell>
        </row>
        <row r="25">
          <cell r="D25" t="str">
            <v>AntioquiaBriceño</v>
          </cell>
          <cell r="E25" t="str">
            <v>Limitado</v>
          </cell>
        </row>
        <row r="26">
          <cell r="D26" t="str">
            <v>AntioquiaBuriticá</v>
          </cell>
          <cell r="E26" t="str">
            <v>Bajo</v>
          </cell>
        </row>
        <row r="27">
          <cell r="D27" t="str">
            <v>AntioquiaCáceres</v>
          </cell>
          <cell r="E27" t="str">
            <v>Limitado</v>
          </cell>
        </row>
        <row r="28">
          <cell r="D28" t="str">
            <v>AntioquiaCaicedo</v>
          </cell>
          <cell r="E28" t="str">
            <v>Limitado</v>
          </cell>
        </row>
        <row r="29">
          <cell r="D29" t="str">
            <v>AntioquiaCaldas</v>
          </cell>
          <cell r="E29" t="str">
            <v>Moderado</v>
          </cell>
        </row>
        <row r="30">
          <cell r="D30" t="str">
            <v>AntioquiaCampamento</v>
          </cell>
          <cell r="E30" t="str">
            <v>Bajo</v>
          </cell>
        </row>
        <row r="31">
          <cell r="D31" t="str">
            <v>AntioquiaCañasgordas</v>
          </cell>
          <cell r="E31" t="str">
            <v>Limitado</v>
          </cell>
        </row>
        <row r="32">
          <cell r="D32" t="str">
            <v>AntioquiaCaracolí</v>
          </cell>
          <cell r="E32" t="str">
            <v>Bajo</v>
          </cell>
        </row>
        <row r="33">
          <cell r="D33" t="str">
            <v>AntioquiaCaramanta</v>
          </cell>
          <cell r="E33" t="str">
            <v>Bajo</v>
          </cell>
        </row>
        <row r="34">
          <cell r="D34" t="str">
            <v>AntioquiaCarepa</v>
          </cell>
          <cell r="E34" t="str">
            <v>Moderado</v>
          </cell>
        </row>
        <row r="35">
          <cell r="D35" t="str">
            <v>AntioquiaEl Carmen de Viboral</v>
          </cell>
          <cell r="E35" t="str">
            <v>Incipiente</v>
          </cell>
        </row>
        <row r="36">
          <cell r="D36" t="str">
            <v>AntioquiaCarolina</v>
          </cell>
          <cell r="E36" t="str">
            <v>Incipiente</v>
          </cell>
        </row>
        <row r="37">
          <cell r="D37" t="str">
            <v>AntioquiaCaucasia</v>
          </cell>
          <cell r="E37" t="str">
            <v>Moderado</v>
          </cell>
        </row>
        <row r="38">
          <cell r="D38" t="str">
            <v>AntioquiaChigorodó</v>
          </cell>
          <cell r="E38" t="str">
            <v>Incipiente</v>
          </cell>
        </row>
        <row r="39">
          <cell r="D39" t="str">
            <v>AntioquiaCisneros</v>
          </cell>
          <cell r="E39" t="str">
            <v>Incipiente</v>
          </cell>
        </row>
        <row r="40">
          <cell r="D40" t="str">
            <v>AntioquiaCocorná</v>
          </cell>
          <cell r="E40" t="str">
            <v>Bajo</v>
          </cell>
        </row>
        <row r="41">
          <cell r="D41" t="str">
            <v>AntioquiaConcepción</v>
          </cell>
          <cell r="E41" t="str">
            <v>Limitado</v>
          </cell>
        </row>
        <row r="42">
          <cell r="D42" t="str">
            <v>AntioquiaConcordia</v>
          </cell>
          <cell r="E42" t="str">
            <v>Bajo</v>
          </cell>
        </row>
        <row r="43">
          <cell r="D43" t="str">
            <v>AntioquiaCopacabana</v>
          </cell>
          <cell r="E43" t="str">
            <v>Moderado</v>
          </cell>
        </row>
        <row r="44">
          <cell r="D44" t="str">
            <v>AntioquiaDabeiba</v>
          </cell>
          <cell r="E44" t="str">
            <v>Limitado</v>
          </cell>
        </row>
        <row r="45">
          <cell r="D45" t="str">
            <v>AntioquiaDonmatías</v>
          </cell>
          <cell r="E45" t="str">
            <v>Incipiente</v>
          </cell>
        </row>
        <row r="46">
          <cell r="D46" t="str">
            <v>AntioquiaEbéjico</v>
          </cell>
          <cell r="E46" t="str">
            <v>Bajo</v>
          </cell>
        </row>
        <row r="47">
          <cell r="D47" t="str">
            <v>AntioquiaEl Bagre</v>
          </cell>
          <cell r="E47" t="str">
            <v>Bajo</v>
          </cell>
        </row>
        <row r="48">
          <cell r="D48" t="str">
            <v>AntioquiaEntrerríos</v>
          </cell>
          <cell r="E48" t="str">
            <v>Incipiente</v>
          </cell>
        </row>
        <row r="49">
          <cell r="D49" t="str">
            <v>AntioquiaEnvigado</v>
          </cell>
          <cell r="E49" t="str">
            <v>Alto</v>
          </cell>
        </row>
        <row r="50">
          <cell r="D50" t="str">
            <v>AntioquiaFredonia</v>
          </cell>
          <cell r="E50" t="str">
            <v>Incipiente</v>
          </cell>
        </row>
        <row r="51">
          <cell r="D51" t="str">
            <v>AntioquiaFrontino</v>
          </cell>
          <cell r="E51" t="str">
            <v>Bajo</v>
          </cell>
        </row>
        <row r="52">
          <cell r="D52" t="str">
            <v>AntioquiaGiraldo</v>
          </cell>
          <cell r="E52" t="str">
            <v>Limitado</v>
          </cell>
        </row>
        <row r="53">
          <cell r="D53" t="str">
            <v>AntioquiaGirardota</v>
          </cell>
          <cell r="E53" t="str">
            <v>Moderado</v>
          </cell>
        </row>
        <row r="54">
          <cell r="D54" t="str">
            <v>AntioquiaGómez Plata</v>
          </cell>
          <cell r="E54" t="str">
            <v>Incipiente</v>
          </cell>
        </row>
        <row r="55">
          <cell r="D55" t="str">
            <v>AntioquiaGranada</v>
          </cell>
          <cell r="E55" t="str">
            <v>Bajo</v>
          </cell>
        </row>
        <row r="56">
          <cell r="D56" t="str">
            <v>AntioquiaGuadalupe</v>
          </cell>
          <cell r="E56" t="str">
            <v>Limitado</v>
          </cell>
        </row>
        <row r="57">
          <cell r="D57" t="str">
            <v>AntioquiaGuarne</v>
          </cell>
          <cell r="E57" t="str">
            <v>Incipiente</v>
          </cell>
        </row>
        <row r="58">
          <cell r="D58" t="str">
            <v>AntioquiaGuatapé</v>
          </cell>
          <cell r="E58" t="str">
            <v>Incipiente</v>
          </cell>
        </row>
        <row r="59">
          <cell r="D59" t="str">
            <v>AntioquiaHeliconia</v>
          </cell>
          <cell r="E59" t="str">
            <v>Bajo</v>
          </cell>
        </row>
        <row r="60">
          <cell r="D60" t="str">
            <v>AntioquiaHispania</v>
          </cell>
          <cell r="E60" t="str">
            <v>Bajo</v>
          </cell>
        </row>
        <row r="61">
          <cell r="D61" t="str">
            <v>AntioquiaItagui</v>
          </cell>
          <cell r="E61" t="str">
            <v>Alto</v>
          </cell>
        </row>
        <row r="62">
          <cell r="D62" t="str">
            <v>AntioquiaItuango</v>
          </cell>
          <cell r="E62" t="str">
            <v>Bajo</v>
          </cell>
        </row>
        <row r="63">
          <cell r="D63" t="str">
            <v>AntioquiaJardín</v>
          </cell>
          <cell r="E63" t="str">
            <v>Bajo</v>
          </cell>
        </row>
        <row r="64">
          <cell r="D64" t="str">
            <v>AntioquiaJericó</v>
          </cell>
          <cell r="E64" t="str">
            <v>Incipiente</v>
          </cell>
        </row>
        <row r="65">
          <cell r="D65" t="str">
            <v>AntioquiaLa Ceja</v>
          </cell>
          <cell r="E65" t="str">
            <v>Moderado</v>
          </cell>
        </row>
        <row r="66">
          <cell r="D66" t="str">
            <v>AntioquiaLa Estrella</v>
          </cell>
          <cell r="E66" t="str">
            <v>Moderado</v>
          </cell>
        </row>
        <row r="67">
          <cell r="D67" t="str">
            <v>AntioquiaLa Pintada</v>
          </cell>
          <cell r="E67" t="str">
            <v>Incipiente</v>
          </cell>
        </row>
        <row r="68">
          <cell r="D68" t="str">
            <v>AntioquiaLa Unión</v>
          </cell>
          <cell r="E68" t="str">
            <v>Incipiente</v>
          </cell>
        </row>
        <row r="69">
          <cell r="D69" t="str">
            <v>AntioquiaLiborina</v>
          </cell>
          <cell r="E69" t="str">
            <v>Limitado</v>
          </cell>
        </row>
        <row r="70">
          <cell r="D70" t="str">
            <v>AntioquiaMaceo</v>
          </cell>
          <cell r="E70" t="str">
            <v>Incipiente</v>
          </cell>
        </row>
        <row r="71">
          <cell r="D71" t="str">
            <v>AntioquiaMarinilla</v>
          </cell>
          <cell r="E71" t="str">
            <v>Moderado</v>
          </cell>
        </row>
        <row r="72">
          <cell r="D72" t="str">
            <v>AntioquiaMontebello</v>
          </cell>
          <cell r="E72" t="str">
            <v>Bajo</v>
          </cell>
        </row>
        <row r="73">
          <cell r="D73" t="str">
            <v>AntioquiaMurindó</v>
          </cell>
          <cell r="E73" t="str">
            <v>Limitado</v>
          </cell>
        </row>
        <row r="74">
          <cell r="D74" t="str">
            <v>AntioquiaMutatá</v>
          </cell>
          <cell r="E74" t="str">
            <v>Bajo</v>
          </cell>
        </row>
        <row r="75">
          <cell r="D75" t="str">
            <v>AntioquiaNariño</v>
          </cell>
          <cell r="E75" t="str">
            <v>Limitado</v>
          </cell>
        </row>
        <row r="76">
          <cell r="D76" t="str">
            <v>AntioquiaNecoclí</v>
          </cell>
          <cell r="E76" t="str">
            <v>Bajo</v>
          </cell>
        </row>
        <row r="77">
          <cell r="D77" t="str">
            <v>AntioquiaNechí</v>
          </cell>
          <cell r="E77" t="str">
            <v>Limitado</v>
          </cell>
        </row>
        <row r="78">
          <cell r="D78" t="str">
            <v>AntioquiaOlaya</v>
          </cell>
          <cell r="E78" t="str">
            <v>Limitado</v>
          </cell>
        </row>
        <row r="79">
          <cell r="D79" t="str">
            <v>AntioquiaPeñol</v>
          </cell>
          <cell r="E79" t="str">
            <v>Incipiente</v>
          </cell>
        </row>
        <row r="80">
          <cell r="D80" t="str">
            <v>AntioquiaPeque</v>
          </cell>
          <cell r="E80" t="str">
            <v>Limitado</v>
          </cell>
        </row>
        <row r="81">
          <cell r="D81" t="str">
            <v>AntioquiaPueblorrico</v>
          </cell>
          <cell r="E81" t="str">
            <v>Bajo</v>
          </cell>
        </row>
        <row r="82">
          <cell r="D82" t="str">
            <v>AntioquiaPuerto Berrío</v>
          </cell>
          <cell r="E82" t="str">
            <v>Incipiente</v>
          </cell>
        </row>
        <row r="83">
          <cell r="D83" t="str">
            <v>AntioquiaPuerto Nare</v>
          </cell>
          <cell r="E83" t="str">
            <v>Bajo</v>
          </cell>
        </row>
        <row r="84">
          <cell r="D84" t="str">
            <v>AntioquiaPuerto Triunfo</v>
          </cell>
          <cell r="E84" t="str">
            <v>Bajo</v>
          </cell>
        </row>
        <row r="85">
          <cell r="D85" t="str">
            <v>AntioquiaRemedios</v>
          </cell>
          <cell r="E85" t="str">
            <v>Bajo</v>
          </cell>
        </row>
        <row r="86">
          <cell r="D86" t="str">
            <v>AntioquiaRetiro</v>
          </cell>
          <cell r="E86" t="str">
            <v>Moderado</v>
          </cell>
        </row>
        <row r="87">
          <cell r="D87" t="str">
            <v>AntioquiaRionegro</v>
          </cell>
          <cell r="E87" t="str">
            <v>Moderado</v>
          </cell>
        </row>
        <row r="88">
          <cell r="D88" t="str">
            <v>AntioquiaSabanalarga</v>
          </cell>
          <cell r="E88" t="str">
            <v>Limitado</v>
          </cell>
        </row>
        <row r="89">
          <cell r="D89" t="str">
            <v>AntioquiaSabaneta</v>
          </cell>
          <cell r="E89" t="str">
            <v>Alto</v>
          </cell>
        </row>
        <row r="90">
          <cell r="D90" t="str">
            <v>AntioquiaSalgar</v>
          </cell>
          <cell r="E90" t="str">
            <v>Limitado</v>
          </cell>
        </row>
        <row r="91">
          <cell r="D91" t="str">
            <v>AntioquiaSan Andrés de Cuerquía</v>
          </cell>
          <cell r="E91" t="str">
            <v>Bajo</v>
          </cell>
        </row>
        <row r="92">
          <cell r="D92" t="str">
            <v>AntioquiaSan Carlos</v>
          </cell>
          <cell r="E92" t="str">
            <v>Incipiente</v>
          </cell>
        </row>
        <row r="93">
          <cell r="D93" t="str">
            <v>AntioquiaSan Francisco</v>
          </cell>
          <cell r="E93" t="str">
            <v>Limitado</v>
          </cell>
        </row>
        <row r="94">
          <cell r="D94" t="str">
            <v>AntioquiaSan Jerónimo</v>
          </cell>
          <cell r="E94" t="str">
            <v>Incipiente</v>
          </cell>
        </row>
        <row r="95">
          <cell r="D95" t="str">
            <v>AntioquiaSan José de La Montaña</v>
          </cell>
          <cell r="E95" t="str">
            <v>Incipiente</v>
          </cell>
        </row>
        <row r="96">
          <cell r="D96" t="str">
            <v>AntioquiaSan Juan de Urabá</v>
          </cell>
          <cell r="E96" t="str">
            <v>Bajo</v>
          </cell>
        </row>
        <row r="97">
          <cell r="D97" t="str">
            <v>AntioquiaSan Luis</v>
          </cell>
          <cell r="E97" t="str">
            <v>Bajo</v>
          </cell>
        </row>
        <row r="98">
          <cell r="D98" t="str">
            <v>AntioquiaSan Pedro de Los Milagros</v>
          </cell>
          <cell r="E98" t="str">
            <v>Incipiente</v>
          </cell>
        </row>
        <row r="99">
          <cell r="D99" t="str">
            <v>AntioquiaSan Pedro de Urabá</v>
          </cell>
          <cell r="E99" t="str">
            <v>Bajo</v>
          </cell>
        </row>
        <row r="100">
          <cell r="D100" t="str">
            <v>AntioquiaSan Rafael</v>
          </cell>
          <cell r="E100" t="str">
            <v>Bajo</v>
          </cell>
        </row>
        <row r="101">
          <cell r="D101" t="str">
            <v>AntioquiaSan Roque</v>
          </cell>
          <cell r="E101" t="str">
            <v>Bajo</v>
          </cell>
        </row>
        <row r="102">
          <cell r="D102" t="str">
            <v>AntioquiaSan Vicente</v>
          </cell>
          <cell r="E102" t="str">
            <v>Bajo</v>
          </cell>
        </row>
        <row r="103">
          <cell r="D103" t="str">
            <v>AntioquiaSanta Bárbara</v>
          </cell>
          <cell r="E103" t="str">
            <v>Incipiente</v>
          </cell>
        </row>
        <row r="104">
          <cell r="D104" t="str">
            <v>AntioquiaSanta Rosa de Osos</v>
          </cell>
          <cell r="E104" t="str">
            <v>Incipiente</v>
          </cell>
        </row>
        <row r="105">
          <cell r="D105" t="str">
            <v>AntioquiaSanto Domingo</v>
          </cell>
          <cell r="E105" t="str">
            <v>Bajo</v>
          </cell>
        </row>
        <row r="106">
          <cell r="D106" t="str">
            <v>AntioquiaEl Santuario</v>
          </cell>
          <cell r="E106" t="str">
            <v>Incipiente</v>
          </cell>
        </row>
        <row r="107">
          <cell r="D107" t="str">
            <v>AntioquiaSegovia</v>
          </cell>
          <cell r="E107" t="str">
            <v>Incipiente</v>
          </cell>
        </row>
        <row r="108">
          <cell r="D108" t="str">
            <v>AntioquiaSonsón</v>
          </cell>
          <cell r="E108" t="str">
            <v>Bajo</v>
          </cell>
        </row>
        <row r="109">
          <cell r="D109" t="str">
            <v>AntioquiaSopetrán</v>
          </cell>
          <cell r="E109" t="str">
            <v>Incipiente</v>
          </cell>
        </row>
        <row r="110">
          <cell r="D110" t="str">
            <v>AntioquiaTámesis</v>
          </cell>
          <cell r="E110" t="str">
            <v>Bajo</v>
          </cell>
        </row>
        <row r="111">
          <cell r="D111" t="str">
            <v>AntioquiaTarazá</v>
          </cell>
          <cell r="E111" t="str">
            <v>Bajo</v>
          </cell>
        </row>
        <row r="112">
          <cell r="D112" t="str">
            <v>AntioquiaTarso</v>
          </cell>
          <cell r="E112" t="str">
            <v>Incipiente</v>
          </cell>
        </row>
        <row r="113">
          <cell r="D113" t="str">
            <v>AntioquiaTitiribí</v>
          </cell>
          <cell r="E113" t="str">
            <v>Incipiente</v>
          </cell>
        </row>
        <row r="114">
          <cell r="D114" t="str">
            <v>AntioquiaToledo</v>
          </cell>
          <cell r="E114" t="str">
            <v>Limitado</v>
          </cell>
        </row>
        <row r="115">
          <cell r="D115" t="str">
            <v>AntioquiaTurbo</v>
          </cell>
          <cell r="E115" t="str">
            <v>Incipiente</v>
          </cell>
        </row>
        <row r="116">
          <cell r="D116" t="str">
            <v>AntioquiaUramita</v>
          </cell>
          <cell r="E116" t="str">
            <v>Limitado</v>
          </cell>
        </row>
        <row r="117">
          <cell r="D117" t="str">
            <v>AntioquiaUrrao</v>
          </cell>
          <cell r="E117" t="str">
            <v>Bajo</v>
          </cell>
        </row>
        <row r="118">
          <cell r="D118" t="str">
            <v>AntioquiaValdivia</v>
          </cell>
          <cell r="E118" t="str">
            <v>Bajo</v>
          </cell>
        </row>
        <row r="119">
          <cell r="D119" t="str">
            <v>AntioquiaValparaíso</v>
          </cell>
          <cell r="E119" t="str">
            <v>Incipiente</v>
          </cell>
        </row>
        <row r="120">
          <cell r="D120" t="str">
            <v>AntioquiaVegachí</v>
          </cell>
          <cell r="E120" t="str">
            <v>Incipiente</v>
          </cell>
        </row>
        <row r="121">
          <cell r="D121" t="str">
            <v>AntioquiaVenecia</v>
          </cell>
          <cell r="E121" t="str">
            <v>Incipiente</v>
          </cell>
        </row>
        <row r="122">
          <cell r="D122" t="str">
            <v>AntioquiaVigía del Fuerte</v>
          </cell>
          <cell r="E122" t="str">
            <v>Limitado</v>
          </cell>
        </row>
        <row r="123">
          <cell r="D123" t="str">
            <v>AntioquiaYalí</v>
          </cell>
          <cell r="E123" t="str">
            <v>Bajo</v>
          </cell>
        </row>
        <row r="124">
          <cell r="D124" t="str">
            <v>AntioquiaYarumal</v>
          </cell>
          <cell r="E124" t="str">
            <v>Incipiente</v>
          </cell>
        </row>
        <row r="125">
          <cell r="D125" t="str">
            <v>AntioquiaYolombó</v>
          </cell>
          <cell r="E125" t="str">
            <v>Bajo</v>
          </cell>
        </row>
        <row r="126">
          <cell r="D126" t="str">
            <v>AntioquiaYondó</v>
          </cell>
          <cell r="E126" t="str">
            <v>Bajo</v>
          </cell>
        </row>
        <row r="127">
          <cell r="D127" t="str">
            <v>AntioquiaZaragoza</v>
          </cell>
          <cell r="E127" t="str">
            <v>Bajo</v>
          </cell>
        </row>
        <row r="128">
          <cell r="D128" t="str">
            <v>AtlanticoBarranquilla</v>
          </cell>
          <cell r="E128" t="str">
            <v>Alto</v>
          </cell>
        </row>
        <row r="129">
          <cell r="D129" t="str">
            <v>AtlanticoBaranoa</v>
          </cell>
          <cell r="E129" t="str">
            <v>Incipiente</v>
          </cell>
        </row>
        <row r="130">
          <cell r="D130" t="str">
            <v>AtlanticoCampo de La Cruz</v>
          </cell>
          <cell r="E130" t="str">
            <v>Bajo</v>
          </cell>
        </row>
        <row r="131">
          <cell r="D131" t="str">
            <v>AtlanticoCandelaria</v>
          </cell>
          <cell r="E131" t="str">
            <v>Bajo</v>
          </cell>
        </row>
        <row r="132">
          <cell r="D132" t="str">
            <v>AtlanticoGalapa</v>
          </cell>
          <cell r="E132" t="str">
            <v>Moderado</v>
          </cell>
        </row>
        <row r="133">
          <cell r="D133" t="str">
            <v>AtlanticoJuan de Acosta</v>
          </cell>
          <cell r="E133" t="str">
            <v>Bajo</v>
          </cell>
        </row>
        <row r="134">
          <cell r="D134" t="str">
            <v>AtlanticoLuruaco</v>
          </cell>
          <cell r="E134" t="str">
            <v>Bajo</v>
          </cell>
        </row>
        <row r="135">
          <cell r="D135" t="str">
            <v>AtlanticoMalambo</v>
          </cell>
          <cell r="E135" t="str">
            <v>Moderado</v>
          </cell>
        </row>
        <row r="136">
          <cell r="D136" t="str">
            <v>AtlanticoManatí</v>
          </cell>
          <cell r="E136" t="str">
            <v>Bajo</v>
          </cell>
        </row>
        <row r="137">
          <cell r="D137" t="str">
            <v>AtlanticoPalmar de Varela</v>
          </cell>
          <cell r="E137" t="str">
            <v>Incipiente</v>
          </cell>
        </row>
        <row r="138">
          <cell r="D138" t="str">
            <v>AtlanticoPiojó</v>
          </cell>
          <cell r="E138" t="str">
            <v>Bajo</v>
          </cell>
        </row>
        <row r="139">
          <cell r="D139" t="str">
            <v>AtlanticoPolonuevo</v>
          </cell>
          <cell r="E139" t="str">
            <v>Bajo</v>
          </cell>
        </row>
        <row r="140">
          <cell r="D140" t="str">
            <v>AtlanticoPonedera</v>
          </cell>
          <cell r="E140" t="str">
            <v>Bajo</v>
          </cell>
        </row>
        <row r="141">
          <cell r="D141" t="str">
            <v>AtlanticoPuerto Colombia</v>
          </cell>
          <cell r="E141" t="str">
            <v>Moderado</v>
          </cell>
        </row>
        <row r="142">
          <cell r="D142" t="str">
            <v>AtlanticoRepelón</v>
          </cell>
          <cell r="E142" t="str">
            <v>Bajo</v>
          </cell>
        </row>
        <row r="143">
          <cell r="D143" t="str">
            <v>AtlanticoSabanagrande</v>
          </cell>
          <cell r="E143" t="str">
            <v>Incipiente</v>
          </cell>
        </row>
        <row r="144">
          <cell r="D144" t="str">
            <v>AtlanticoSabanalarga</v>
          </cell>
          <cell r="E144" t="str">
            <v>Incipiente</v>
          </cell>
        </row>
        <row r="145">
          <cell r="D145" t="str">
            <v>AtlanticoSanta Lucía</v>
          </cell>
          <cell r="E145" t="str">
            <v>Bajo</v>
          </cell>
        </row>
        <row r="146">
          <cell r="D146" t="str">
            <v>AtlanticoSanto Tomás</v>
          </cell>
          <cell r="E146" t="str">
            <v>Moderado</v>
          </cell>
        </row>
        <row r="147">
          <cell r="D147" t="str">
            <v>AtlanticoSoledad</v>
          </cell>
          <cell r="E147" t="str">
            <v>Alto</v>
          </cell>
        </row>
        <row r="148">
          <cell r="D148" t="str">
            <v>AtlanticoSuan</v>
          </cell>
          <cell r="E148" t="str">
            <v>Bajo</v>
          </cell>
        </row>
        <row r="149">
          <cell r="D149" t="str">
            <v>AtlanticoTubará</v>
          </cell>
          <cell r="E149" t="str">
            <v>Bajo</v>
          </cell>
        </row>
        <row r="150">
          <cell r="D150" t="str">
            <v>AtlanticoUsiacurí</v>
          </cell>
          <cell r="E150" t="str">
            <v>Bajo</v>
          </cell>
        </row>
        <row r="151">
          <cell r="D151" t="str">
            <v>Bogotá, D.C.Bogotá, D.C.</v>
          </cell>
          <cell r="E151" t="str">
            <v>Alto</v>
          </cell>
        </row>
        <row r="152">
          <cell r="D152" t="str">
            <v>BolivarCartagena</v>
          </cell>
          <cell r="E152" t="str">
            <v>Alto</v>
          </cell>
        </row>
        <row r="153">
          <cell r="D153" t="str">
            <v>BolivarAchí</v>
          </cell>
          <cell r="E153" t="str">
            <v>Limitado</v>
          </cell>
        </row>
        <row r="154">
          <cell r="D154" t="str">
            <v>BolivarAltos del Rosario</v>
          </cell>
          <cell r="E154" t="str">
            <v>Limitado</v>
          </cell>
        </row>
        <row r="155">
          <cell r="D155" t="str">
            <v>BolivarArenal</v>
          </cell>
          <cell r="E155" t="str">
            <v>Limitado</v>
          </cell>
        </row>
        <row r="156">
          <cell r="D156" t="str">
            <v>BolivarArjona</v>
          </cell>
          <cell r="E156" t="str">
            <v>Incipiente</v>
          </cell>
        </row>
        <row r="157">
          <cell r="D157" t="str">
            <v>BolivarArroyohondo</v>
          </cell>
          <cell r="E157" t="str">
            <v>Limitado</v>
          </cell>
        </row>
        <row r="158">
          <cell r="D158" t="str">
            <v>BolivarBarranco de Loba</v>
          </cell>
          <cell r="E158" t="str">
            <v>Limitado</v>
          </cell>
        </row>
        <row r="159">
          <cell r="D159" t="str">
            <v>BolivarCalamar</v>
          </cell>
          <cell r="E159" t="str">
            <v>Bajo</v>
          </cell>
        </row>
        <row r="160">
          <cell r="D160" t="str">
            <v>BolivarCantagallo</v>
          </cell>
          <cell r="E160" t="str">
            <v>Limitado</v>
          </cell>
        </row>
        <row r="161">
          <cell r="D161" t="str">
            <v>BolivarCicuco</v>
          </cell>
          <cell r="E161" t="str">
            <v>Limitado</v>
          </cell>
        </row>
        <row r="162">
          <cell r="D162" t="str">
            <v>BolivarCórdoba</v>
          </cell>
          <cell r="E162" t="str">
            <v>Limitado</v>
          </cell>
        </row>
        <row r="163">
          <cell r="D163" t="str">
            <v>BolivarClemencia</v>
          </cell>
          <cell r="E163" t="str">
            <v>Bajo</v>
          </cell>
        </row>
        <row r="164">
          <cell r="D164" t="str">
            <v>BolivarEl Carmen de Bolívar</v>
          </cell>
          <cell r="E164" t="str">
            <v>Bajo</v>
          </cell>
        </row>
        <row r="165">
          <cell r="D165" t="str">
            <v>BolivarEl Guamo</v>
          </cell>
          <cell r="E165" t="str">
            <v>Bajo</v>
          </cell>
        </row>
        <row r="166">
          <cell r="D166" t="str">
            <v>BolivarEl Peñón</v>
          </cell>
          <cell r="E166" t="str">
            <v>Limitado</v>
          </cell>
        </row>
        <row r="167">
          <cell r="D167" t="str">
            <v>BolivarHatillo de Loba</v>
          </cell>
          <cell r="E167" t="str">
            <v>Limitado</v>
          </cell>
        </row>
        <row r="168">
          <cell r="D168" t="str">
            <v>BolivarMagangué</v>
          </cell>
          <cell r="E168" t="str">
            <v>Incipiente</v>
          </cell>
        </row>
        <row r="169">
          <cell r="D169" t="str">
            <v>BolivarMahates</v>
          </cell>
          <cell r="E169" t="str">
            <v>Bajo</v>
          </cell>
        </row>
        <row r="170">
          <cell r="D170" t="str">
            <v>BolivarMargarita</v>
          </cell>
          <cell r="E170" t="str">
            <v>Limitado</v>
          </cell>
        </row>
        <row r="171">
          <cell r="D171" t="str">
            <v>BolivarMaría La Baja</v>
          </cell>
          <cell r="E171" t="str">
            <v>Bajo</v>
          </cell>
        </row>
        <row r="172">
          <cell r="D172" t="str">
            <v>BolivarMontecristo</v>
          </cell>
          <cell r="E172" t="str">
            <v>Limitado</v>
          </cell>
        </row>
        <row r="173">
          <cell r="D173" t="str">
            <v>BolivarMompós</v>
          </cell>
          <cell r="E173" t="str">
            <v>Bajo</v>
          </cell>
        </row>
        <row r="174">
          <cell r="D174" t="str">
            <v>BolivarMorales</v>
          </cell>
          <cell r="E174" t="str">
            <v>Limitado</v>
          </cell>
        </row>
        <row r="175">
          <cell r="D175" t="str">
            <v>BolivarNorosí</v>
          </cell>
          <cell r="E175" t="str">
            <v>Limitado</v>
          </cell>
        </row>
        <row r="176">
          <cell r="D176" t="str">
            <v>BolivarPinillos</v>
          </cell>
          <cell r="E176" t="str">
            <v>Limitado</v>
          </cell>
        </row>
        <row r="177">
          <cell r="D177" t="str">
            <v>BolivarRegidor</v>
          </cell>
          <cell r="E177" t="str">
            <v>Limitado</v>
          </cell>
        </row>
        <row r="178">
          <cell r="D178" t="str">
            <v>BolivarRío Viejo</v>
          </cell>
          <cell r="E178" t="str">
            <v>Limitado</v>
          </cell>
        </row>
        <row r="179">
          <cell r="D179" t="str">
            <v>BolivarSan Cristóbal</v>
          </cell>
          <cell r="E179" t="str">
            <v>Limitado</v>
          </cell>
        </row>
        <row r="180">
          <cell r="D180" t="str">
            <v>BolivarSan Estanislao</v>
          </cell>
          <cell r="E180" t="str">
            <v>Bajo</v>
          </cell>
        </row>
        <row r="181">
          <cell r="D181" t="str">
            <v>BolivarSan Fernando</v>
          </cell>
          <cell r="E181" t="str">
            <v>Limitado</v>
          </cell>
        </row>
        <row r="182">
          <cell r="D182" t="str">
            <v>BolivarSan Jacinto</v>
          </cell>
          <cell r="E182" t="str">
            <v>Bajo</v>
          </cell>
        </row>
        <row r="183">
          <cell r="D183" t="str">
            <v>BolivarSan Jacinto del Cauca</v>
          </cell>
          <cell r="E183" t="str">
            <v>Limitado</v>
          </cell>
        </row>
        <row r="184">
          <cell r="D184" t="str">
            <v>BolivarSan Juan Nepomuceno</v>
          </cell>
          <cell r="E184" t="str">
            <v>Bajo</v>
          </cell>
        </row>
        <row r="185">
          <cell r="D185" t="str">
            <v>BolivarSan Martín de Loba</v>
          </cell>
          <cell r="E185" t="str">
            <v>Limitado</v>
          </cell>
        </row>
        <row r="186">
          <cell r="D186" t="str">
            <v>BolivarSan Pablo</v>
          </cell>
          <cell r="E186" t="str">
            <v>Bajo</v>
          </cell>
        </row>
        <row r="187">
          <cell r="D187" t="str">
            <v>BolivarSanta Catalina</v>
          </cell>
          <cell r="E187" t="str">
            <v>Bajo</v>
          </cell>
        </row>
        <row r="188">
          <cell r="D188" t="str">
            <v>BolivarSanta Rosa</v>
          </cell>
          <cell r="E188" t="str">
            <v>Bajo</v>
          </cell>
        </row>
        <row r="189">
          <cell r="D189" t="str">
            <v>BolivarSanta Rosa del Sur</v>
          </cell>
          <cell r="E189" t="str">
            <v>Limitado</v>
          </cell>
        </row>
        <row r="190">
          <cell r="D190" t="str">
            <v>BolivarSimití</v>
          </cell>
          <cell r="E190" t="str">
            <v>Limitado</v>
          </cell>
        </row>
        <row r="191">
          <cell r="D191" t="str">
            <v>BolivarSoplaviento</v>
          </cell>
          <cell r="E191" t="str">
            <v>Bajo</v>
          </cell>
        </row>
        <row r="192">
          <cell r="D192" t="str">
            <v>BolivarTalaigua Nuevo</v>
          </cell>
          <cell r="E192" t="str">
            <v>Limitado</v>
          </cell>
        </row>
        <row r="193">
          <cell r="D193" t="str">
            <v>BolivarTiquisio</v>
          </cell>
          <cell r="E193" t="str">
            <v>Limitado</v>
          </cell>
        </row>
        <row r="194">
          <cell r="D194" t="str">
            <v>BolivarTurbaco</v>
          </cell>
          <cell r="E194" t="str">
            <v>Moderado</v>
          </cell>
        </row>
        <row r="195">
          <cell r="D195" t="str">
            <v>BolivarTurbaná</v>
          </cell>
          <cell r="E195" t="str">
            <v>Incipiente</v>
          </cell>
        </row>
        <row r="196">
          <cell r="D196" t="str">
            <v>BolivarVillanueva</v>
          </cell>
          <cell r="E196" t="str">
            <v>Bajo</v>
          </cell>
        </row>
        <row r="197">
          <cell r="D197" t="str">
            <v>BolivarZambrano</v>
          </cell>
          <cell r="E197" t="str">
            <v>Bajo</v>
          </cell>
        </row>
        <row r="198">
          <cell r="D198" t="str">
            <v>BoyacaTunja</v>
          </cell>
          <cell r="E198" t="str">
            <v>Moderado</v>
          </cell>
        </row>
        <row r="199">
          <cell r="D199" t="str">
            <v>BoyacaAlmeida</v>
          </cell>
          <cell r="E199" t="str">
            <v>Limitado</v>
          </cell>
        </row>
        <row r="200">
          <cell r="D200" t="str">
            <v>BoyacaAquitania</v>
          </cell>
          <cell r="E200" t="str">
            <v>Bajo</v>
          </cell>
        </row>
        <row r="201">
          <cell r="D201" t="str">
            <v>BoyacaArcabuco</v>
          </cell>
          <cell r="E201" t="str">
            <v>Bajo</v>
          </cell>
        </row>
        <row r="202">
          <cell r="D202" t="str">
            <v>BoyacaBelén</v>
          </cell>
          <cell r="E202" t="str">
            <v>Incipiente</v>
          </cell>
        </row>
        <row r="203">
          <cell r="D203" t="str">
            <v>BoyacaBerbeo</v>
          </cell>
          <cell r="E203" t="str">
            <v>Limitado</v>
          </cell>
        </row>
        <row r="204">
          <cell r="D204" t="str">
            <v>BoyacaBetéitiva</v>
          </cell>
          <cell r="E204" t="str">
            <v>Limitado</v>
          </cell>
        </row>
        <row r="205">
          <cell r="D205" t="str">
            <v>BoyacaBoavita</v>
          </cell>
          <cell r="E205" t="str">
            <v>Bajo</v>
          </cell>
        </row>
        <row r="206">
          <cell r="D206" t="str">
            <v>BoyacaBoyacá</v>
          </cell>
          <cell r="E206" t="str">
            <v>Bajo</v>
          </cell>
        </row>
        <row r="207">
          <cell r="D207" t="str">
            <v>BoyacaBriceño</v>
          </cell>
          <cell r="E207" t="str">
            <v>Bajo</v>
          </cell>
        </row>
        <row r="208">
          <cell r="D208" t="str">
            <v>BoyacaBuenavista</v>
          </cell>
          <cell r="E208" t="str">
            <v>Limitado</v>
          </cell>
        </row>
        <row r="209">
          <cell r="D209" t="str">
            <v>BoyacaBusbanzá</v>
          </cell>
          <cell r="E209" t="str">
            <v>Limitado</v>
          </cell>
        </row>
        <row r="210">
          <cell r="D210" t="str">
            <v>BoyacaCaldas</v>
          </cell>
          <cell r="E210" t="str">
            <v>Bajo</v>
          </cell>
        </row>
        <row r="211">
          <cell r="D211" t="str">
            <v>BoyacaCampohermoso</v>
          </cell>
          <cell r="E211" t="str">
            <v>Bajo</v>
          </cell>
        </row>
        <row r="212">
          <cell r="D212" t="str">
            <v>BoyacaCerinza</v>
          </cell>
          <cell r="E212" t="str">
            <v>Bajo</v>
          </cell>
        </row>
        <row r="213">
          <cell r="D213" t="str">
            <v>BoyacaChinavita</v>
          </cell>
          <cell r="E213" t="str">
            <v>Bajo</v>
          </cell>
        </row>
        <row r="214">
          <cell r="D214" t="str">
            <v>BoyacaChiquinquirá</v>
          </cell>
          <cell r="E214" t="str">
            <v>Moderado</v>
          </cell>
        </row>
        <row r="215">
          <cell r="D215" t="str">
            <v>BoyacaChiscas</v>
          </cell>
          <cell r="E215" t="str">
            <v>Limitado</v>
          </cell>
        </row>
        <row r="216">
          <cell r="D216" t="str">
            <v>BoyacaChita</v>
          </cell>
          <cell r="E216" t="str">
            <v>Limitado</v>
          </cell>
        </row>
        <row r="217">
          <cell r="D217" t="str">
            <v>BoyacaChitaraque</v>
          </cell>
          <cell r="E217" t="str">
            <v>Bajo</v>
          </cell>
        </row>
        <row r="218">
          <cell r="D218" t="str">
            <v>BoyacaChivatá</v>
          </cell>
          <cell r="E218" t="str">
            <v>Bajo</v>
          </cell>
        </row>
        <row r="219">
          <cell r="D219" t="str">
            <v>BoyacaCiénega</v>
          </cell>
          <cell r="E219" t="str">
            <v>Bajo</v>
          </cell>
        </row>
        <row r="220">
          <cell r="D220" t="str">
            <v>BoyacaCómbita</v>
          </cell>
          <cell r="E220" t="str">
            <v>Bajo</v>
          </cell>
        </row>
        <row r="221">
          <cell r="D221" t="str">
            <v>BoyacaCoper</v>
          </cell>
          <cell r="E221" t="str">
            <v>Limitado</v>
          </cell>
        </row>
        <row r="222">
          <cell r="D222" t="str">
            <v>BoyacaCorrales</v>
          </cell>
          <cell r="E222" t="str">
            <v>Incipiente</v>
          </cell>
        </row>
        <row r="223">
          <cell r="D223" t="str">
            <v>BoyacaCovarachía</v>
          </cell>
          <cell r="E223" t="str">
            <v>Limitado</v>
          </cell>
        </row>
        <row r="224">
          <cell r="D224" t="str">
            <v>BoyacaCubará</v>
          </cell>
          <cell r="E224" t="str">
            <v>Bajo</v>
          </cell>
        </row>
        <row r="225">
          <cell r="D225" t="str">
            <v>BoyacaCucaita</v>
          </cell>
          <cell r="E225" t="str">
            <v>Bajo</v>
          </cell>
        </row>
        <row r="226">
          <cell r="D226" t="str">
            <v>BoyacaCuítiva</v>
          </cell>
          <cell r="E226" t="str">
            <v>Bajo</v>
          </cell>
        </row>
        <row r="227">
          <cell r="D227" t="str">
            <v>BoyacaChíquiza</v>
          </cell>
          <cell r="E227" t="str">
            <v>Bajo</v>
          </cell>
        </row>
        <row r="228">
          <cell r="D228" t="str">
            <v>BoyacaChivor</v>
          </cell>
          <cell r="E228" t="str">
            <v>Bajo</v>
          </cell>
        </row>
        <row r="229">
          <cell r="D229" t="str">
            <v>BoyacaDuitama</v>
          </cell>
          <cell r="E229" t="str">
            <v>Moderado</v>
          </cell>
        </row>
        <row r="230">
          <cell r="D230" t="str">
            <v>BoyacaEl Cocuy</v>
          </cell>
          <cell r="E230" t="str">
            <v>Bajo</v>
          </cell>
        </row>
        <row r="231">
          <cell r="D231" t="str">
            <v>BoyacaEl Espino</v>
          </cell>
          <cell r="E231" t="str">
            <v>Bajo</v>
          </cell>
        </row>
        <row r="232">
          <cell r="D232" t="str">
            <v>BoyacaFiravitoba</v>
          </cell>
          <cell r="E232" t="str">
            <v>Bajo</v>
          </cell>
        </row>
        <row r="233">
          <cell r="D233" t="str">
            <v>BoyacaFloresta</v>
          </cell>
          <cell r="E233" t="str">
            <v>Bajo</v>
          </cell>
        </row>
        <row r="234">
          <cell r="D234" t="str">
            <v>BoyacaGachantivá</v>
          </cell>
          <cell r="E234" t="str">
            <v>Bajo</v>
          </cell>
        </row>
        <row r="235">
          <cell r="D235" t="str">
            <v>BoyacaGámeza</v>
          </cell>
          <cell r="E235" t="str">
            <v>Bajo</v>
          </cell>
        </row>
        <row r="236">
          <cell r="D236" t="str">
            <v>BoyacaGaragoa</v>
          </cell>
          <cell r="E236" t="str">
            <v>Incipiente</v>
          </cell>
        </row>
        <row r="237">
          <cell r="D237" t="str">
            <v>BoyacaGuacamayas</v>
          </cell>
          <cell r="E237" t="str">
            <v>Limitado</v>
          </cell>
        </row>
        <row r="238">
          <cell r="D238" t="str">
            <v>BoyacaGuateque</v>
          </cell>
          <cell r="E238" t="str">
            <v>Incipiente</v>
          </cell>
        </row>
        <row r="239">
          <cell r="D239" t="str">
            <v>BoyacaGuayatá</v>
          </cell>
          <cell r="E239" t="str">
            <v>Bajo</v>
          </cell>
        </row>
        <row r="240">
          <cell r="D240" t="str">
            <v>BoyacaGüicán de La Sierra</v>
          </cell>
          <cell r="E240" t="str">
            <v>Bajo</v>
          </cell>
        </row>
        <row r="241">
          <cell r="D241" t="str">
            <v>BoyacaIza</v>
          </cell>
          <cell r="E241" t="str">
            <v>Incipiente</v>
          </cell>
        </row>
        <row r="242">
          <cell r="D242" t="str">
            <v>BoyacaJenesano</v>
          </cell>
          <cell r="E242" t="str">
            <v>Bajo</v>
          </cell>
        </row>
        <row r="243">
          <cell r="D243" t="str">
            <v>BoyacaJericó</v>
          </cell>
          <cell r="E243" t="str">
            <v>Bajo</v>
          </cell>
        </row>
        <row r="244">
          <cell r="D244" t="str">
            <v>BoyacaLabranzagrande</v>
          </cell>
          <cell r="E244" t="str">
            <v>Bajo</v>
          </cell>
        </row>
        <row r="245">
          <cell r="D245" t="str">
            <v>BoyacaLa Capilla</v>
          </cell>
          <cell r="E245" t="str">
            <v>Bajo</v>
          </cell>
        </row>
        <row r="246">
          <cell r="D246" t="str">
            <v>BoyacaLa Victoria</v>
          </cell>
          <cell r="E246" t="str">
            <v>Limitado</v>
          </cell>
        </row>
        <row r="247">
          <cell r="D247" t="str">
            <v>BoyacaLa Uvita</v>
          </cell>
          <cell r="E247" t="str">
            <v>Bajo</v>
          </cell>
        </row>
        <row r="248">
          <cell r="D248" t="str">
            <v>BoyacaVilla de Leyva</v>
          </cell>
          <cell r="E248" t="str">
            <v>Incipiente</v>
          </cell>
        </row>
        <row r="249">
          <cell r="D249" t="str">
            <v>BoyacaMacanal</v>
          </cell>
          <cell r="E249" t="str">
            <v>Bajo</v>
          </cell>
        </row>
        <row r="250">
          <cell r="D250" t="str">
            <v>BoyacaMaripí</v>
          </cell>
          <cell r="E250" t="str">
            <v>Bajo</v>
          </cell>
        </row>
        <row r="251">
          <cell r="D251" t="str">
            <v>BoyacaMiraflores</v>
          </cell>
          <cell r="E251" t="str">
            <v>Bajo</v>
          </cell>
        </row>
        <row r="252">
          <cell r="D252" t="str">
            <v>BoyacaMongua</v>
          </cell>
          <cell r="E252" t="str">
            <v>Bajo</v>
          </cell>
        </row>
        <row r="253">
          <cell r="D253" t="str">
            <v>BoyacaMonguí</v>
          </cell>
          <cell r="E253" t="str">
            <v>Bajo</v>
          </cell>
        </row>
        <row r="254">
          <cell r="D254" t="str">
            <v>BoyacaMoniquirá</v>
          </cell>
          <cell r="E254" t="str">
            <v>Incipiente</v>
          </cell>
        </row>
        <row r="255">
          <cell r="D255" t="str">
            <v>BoyacaMotavita</v>
          </cell>
          <cell r="E255" t="str">
            <v>Bajo</v>
          </cell>
        </row>
        <row r="256">
          <cell r="D256" t="str">
            <v>BoyacaMuzo</v>
          </cell>
          <cell r="E256" t="str">
            <v>Bajo</v>
          </cell>
        </row>
        <row r="257">
          <cell r="D257" t="str">
            <v>BoyacaNobsa</v>
          </cell>
          <cell r="E257" t="str">
            <v>Incipiente</v>
          </cell>
        </row>
        <row r="258">
          <cell r="D258" t="str">
            <v>BoyacaNuevo Colón</v>
          </cell>
          <cell r="E258" t="str">
            <v>Bajo</v>
          </cell>
        </row>
        <row r="259">
          <cell r="D259" t="str">
            <v>BoyacaOicatá</v>
          </cell>
          <cell r="E259" t="str">
            <v>Bajo</v>
          </cell>
        </row>
        <row r="260">
          <cell r="D260" t="str">
            <v>BoyacaOtanche</v>
          </cell>
          <cell r="E260" t="str">
            <v>Bajo</v>
          </cell>
        </row>
        <row r="261">
          <cell r="D261" t="str">
            <v>BoyacaPachavita</v>
          </cell>
          <cell r="E261" t="str">
            <v>Bajo</v>
          </cell>
        </row>
        <row r="262">
          <cell r="D262" t="str">
            <v>BoyacaPáez</v>
          </cell>
          <cell r="E262" t="str">
            <v>Limitado</v>
          </cell>
        </row>
        <row r="263">
          <cell r="D263" t="str">
            <v>BoyacaPaipa</v>
          </cell>
          <cell r="E263" t="str">
            <v>Moderado</v>
          </cell>
        </row>
        <row r="264">
          <cell r="D264" t="str">
            <v>BoyacaPajarito</v>
          </cell>
          <cell r="E264" t="str">
            <v>Limitado</v>
          </cell>
        </row>
        <row r="265">
          <cell r="D265" t="str">
            <v>BoyacaPanqueba</v>
          </cell>
          <cell r="E265" t="str">
            <v>Bajo</v>
          </cell>
        </row>
        <row r="266">
          <cell r="D266" t="str">
            <v>BoyacaPauna</v>
          </cell>
          <cell r="E266" t="str">
            <v>Bajo</v>
          </cell>
        </row>
        <row r="267">
          <cell r="D267" t="str">
            <v>BoyacaPaya</v>
          </cell>
          <cell r="E267" t="str">
            <v>Limitado</v>
          </cell>
        </row>
        <row r="268">
          <cell r="D268" t="str">
            <v>BoyacaPaz de Río</v>
          </cell>
          <cell r="E268" t="str">
            <v>Bajo</v>
          </cell>
        </row>
        <row r="269">
          <cell r="D269" t="str">
            <v>BoyacaPesca</v>
          </cell>
          <cell r="E269" t="str">
            <v>Bajo</v>
          </cell>
        </row>
        <row r="270">
          <cell r="D270" t="str">
            <v>BoyacaPisba</v>
          </cell>
          <cell r="E270" t="str">
            <v>Limitado</v>
          </cell>
        </row>
        <row r="271">
          <cell r="D271" t="str">
            <v>BoyacaPuerto Boyacá</v>
          </cell>
          <cell r="E271" t="str">
            <v>Incipiente</v>
          </cell>
        </row>
        <row r="272">
          <cell r="D272" t="str">
            <v>BoyacaQuípama</v>
          </cell>
          <cell r="E272" t="str">
            <v>Limitado</v>
          </cell>
        </row>
        <row r="273">
          <cell r="D273" t="str">
            <v>BoyacaRamiriquí</v>
          </cell>
          <cell r="E273" t="str">
            <v>Bajo</v>
          </cell>
        </row>
        <row r="274">
          <cell r="D274" t="str">
            <v>BoyacaRáquira</v>
          </cell>
          <cell r="E274" t="str">
            <v>Bajo</v>
          </cell>
        </row>
        <row r="275">
          <cell r="D275" t="str">
            <v>BoyacaRondón</v>
          </cell>
          <cell r="E275" t="str">
            <v>Bajo</v>
          </cell>
        </row>
        <row r="276">
          <cell r="D276" t="str">
            <v>BoyacaSaboyá</v>
          </cell>
          <cell r="E276" t="str">
            <v>Bajo</v>
          </cell>
        </row>
        <row r="277">
          <cell r="D277" t="str">
            <v>BoyacaSáchica</v>
          </cell>
          <cell r="E277" t="str">
            <v>Bajo</v>
          </cell>
        </row>
        <row r="278">
          <cell r="D278" t="str">
            <v>BoyacaSamacá</v>
          </cell>
          <cell r="E278" t="str">
            <v>Incipiente</v>
          </cell>
        </row>
        <row r="279">
          <cell r="D279" t="str">
            <v>BoyacaSan Eduardo</v>
          </cell>
          <cell r="E279" t="str">
            <v>Limitado</v>
          </cell>
        </row>
        <row r="280">
          <cell r="D280" t="str">
            <v>BoyacaSan José de Pare</v>
          </cell>
          <cell r="E280" t="str">
            <v>Bajo</v>
          </cell>
        </row>
        <row r="281">
          <cell r="D281" t="str">
            <v>BoyacaSan Luis de Gaceno</v>
          </cell>
          <cell r="E281" t="str">
            <v>Bajo</v>
          </cell>
        </row>
        <row r="282">
          <cell r="D282" t="str">
            <v>BoyacaSan Mateo</v>
          </cell>
          <cell r="E282" t="str">
            <v>Bajo</v>
          </cell>
        </row>
        <row r="283">
          <cell r="D283" t="str">
            <v>BoyacaSan Miguel de Sema</v>
          </cell>
          <cell r="E283" t="str">
            <v>Bajo</v>
          </cell>
        </row>
        <row r="284">
          <cell r="D284" t="str">
            <v>BoyacaSan Pablo de Borbur</v>
          </cell>
          <cell r="E284" t="str">
            <v>Bajo</v>
          </cell>
        </row>
        <row r="285">
          <cell r="D285" t="str">
            <v>BoyacaSantana</v>
          </cell>
          <cell r="E285" t="str">
            <v>Bajo</v>
          </cell>
        </row>
        <row r="286">
          <cell r="D286" t="str">
            <v>BoyacaSanta María</v>
          </cell>
          <cell r="E286" t="str">
            <v>Bajo</v>
          </cell>
        </row>
        <row r="287">
          <cell r="D287" t="str">
            <v>BoyacaSanta Rosa de Viterbo</v>
          </cell>
          <cell r="E287" t="str">
            <v>Bajo</v>
          </cell>
        </row>
        <row r="288">
          <cell r="D288" t="str">
            <v>BoyacaSanta Sofía</v>
          </cell>
          <cell r="E288" t="str">
            <v>Bajo</v>
          </cell>
        </row>
        <row r="289">
          <cell r="D289" t="str">
            <v>BoyacaSativanorte</v>
          </cell>
          <cell r="E289" t="str">
            <v>Bajo</v>
          </cell>
        </row>
        <row r="290">
          <cell r="D290" t="str">
            <v>BoyacaSativasur</v>
          </cell>
          <cell r="E290" t="str">
            <v>Limitado</v>
          </cell>
        </row>
        <row r="291">
          <cell r="D291" t="str">
            <v>BoyacaSiachoque</v>
          </cell>
          <cell r="E291" t="str">
            <v>Bajo</v>
          </cell>
        </row>
        <row r="292">
          <cell r="D292" t="str">
            <v>BoyacaSoatá</v>
          </cell>
          <cell r="E292" t="str">
            <v>Bajo</v>
          </cell>
        </row>
        <row r="293">
          <cell r="D293" t="str">
            <v>BoyacaSocotá</v>
          </cell>
          <cell r="E293" t="str">
            <v>Bajo</v>
          </cell>
        </row>
        <row r="294">
          <cell r="D294" t="str">
            <v>BoyacaSocha</v>
          </cell>
          <cell r="E294" t="str">
            <v>Bajo</v>
          </cell>
        </row>
        <row r="295">
          <cell r="D295" t="str">
            <v>BoyacaSogamoso</v>
          </cell>
          <cell r="E295" t="str">
            <v>Moderado</v>
          </cell>
        </row>
        <row r="296">
          <cell r="D296" t="str">
            <v>BoyacaSomondoco</v>
          </cell>
          <cell r="E296" t="str">
            <v>Bajo</v>
          </cell>
        </row>
        <row r="297">
          <cell r="D297" t="str">
            <v>BoyacaSora</v>
          </cell>
          <cell r="E297" t="str">
            <v>Bajo</v>
          </cell>
        </row>
        <row r="298">
          <cell r="D298" t="str">
            <v>BoyacaSotaquirá</v>
          </cell>
          <cell r="E298" t="str">
            <v>Bajo</v>
          </cell>
        </row>
        <row r="299">
          <cell r="D299" t="str">
            <v>BoyacaSoracá</v>
          </cell>
          <cell r="E299" t="str">
            <v>Bajo</v>
          </cell>
        </row>
        <row r="300">
          <cell r="D300" t="str">
            <v>BoyacaSusacón</v>
          </cell>
          <cell r="E300" t="str">
            <v>Bajo</v>
          </cell>
        </row>
        <row r="301">
          <cell r="D301" t="str">
            <v>BoyacaSutamarchán</v>
          </cell>
          <cell r="E301" t="str">
            <v>Bajo</v>
          </cell>
        </row>
        <row r="302">
          <cell r="D302" t="str">
            <v>BoyacaSutatenza</v>
          </cell>
          <cell r="E302" t="str">
            <v>Bajo</v>
          </cell>
        </row>
        <row r="303">
          <cell r="D303" t="str">
            <v>BoyacaTasco</v>
          </cell>
          <cell r="E303" t="str">
            <v>Bajo</v>
          </cell>
        </row>
        <row r="304">
          <cell r="D304" t="str">
            <v>BoyacaTenza</v>
          </cell>
          <cell r="E304" t="str">
            <v>Bajo</v>
          </cell>
        </row>
        <row r="305">
          <cell r="D305" t="str">
            <v>BoyacaTibaná</v>
          </cell>
          <cell r="E305" t="str">
            <v>Bajo</v>
          </cell>
        </row>
        <row r="306">
          <cell r="D306" t="str">
            <v>BoyacaTibasosa</v>
          </cell>
          <cell r="E306" t="str">
            <v>Incipiente</v>
          </cell>
        </row>
        <row r="307">
          <cell r="D307" t="str">
            <v>BoyacaTinjacá</v>
          </cell>
          <cell r="E307" t="str">
            <v>Bajo</v>
          </cell>
        </row>
        <row r="308">
          <cell r="D308" t="str">
            <v>BoyacaTipacoque</v>
          </cell>
          <cell r="E308" t="str">
            <v>Limitado</v>
          </cell>
        </row>
        <row r="309">
          <cell r="D309" t="str">
            <v>BoyacaToca</v>
          </cell>
          <cell r="E309" t="str">
            <v>Incipiente</v>
          </cell>
        </row>
        <row r="310">
          <cell r="D310" t="str">
            <v>BoyacaTogüí</v>
          </cell>
          <cell r="E310" t="str">
            <v>Bajo</v>
          </cell>
        </row>
        <row r="311">
          <cell r="D311" t="str">
            <v>BoyacaTópaga</v>
          </cell>
          <cell r="E311" t="str">
            <v>Bajo</v>
          </cell>
        </row>
        <row r="312">
          <cell r="D312" t="str">
            <v>BoyacaTota</v>
          </cell>
          <cell r="E312" t="str">
            <v>Bajo</v>
          </cell>
        </row>
        <row r="313">
          <cell r="D313" t="str">
            <v>BoyacaTununguá</v>
          </cell>
          <cell r="E313" t="str">
            <v>Limitado</v>
          </cell>
        </row>
        <row r="314">
          <cell r="D314" t="str">
            <v>BoyacaTurmequé</v>
          </cell>
          <cell r="E314" t="str">
            <v>Bajo</v>
          </cell>
        </row>
        <row r="315">
          <cell r="D315" t="str">
            <v>BoyacaTuta</v>
          </cell>
          <cell r="E315" t="str">
            <v>Incipiente</v>
          </cell>
        </row>
        <row r="316">
          <cell r="D316" t="str">
            <v>BoyacaTutazá</v>
          </cell>
          <cell r="E316" t="str">
            <v>Limitado</v>
          </cell>
        </row>
        <row r="317">
          <cell r="D317" t="str">
            <v>BoyacaÚmbita</v>
          </cell>
          <cell r="E317" t="str">
            <v>Limitado</v>
          </cell>
        </row>
        <row r="318">
          <cell r="D318" t="str">
            <v>BoyacaVentaquemada</v>
          </cell>
          <cell r="E318" t="str">
            <v>Bajo</v>
          </cell>
        </row>
        <row r="319">
          <cell r="D319" t="str">
            <v>BoyacaViracacha</v>
          </cell>
          <cell r="E319" t="str">
            <v>Bajo</v>
          </cell>
        </row>
        <row r="320">
          <cell r="D320" t="str">
            <v>BoyacaZetaquira</v>
          </cell>
          <cell r="E320" t="str">
            <v>Bajo</v>
          </cell>
        </row>
        <row r="321">
          <cell r="D321" t="str">
            <v>CaldasManizales</v>
          </cell>
          <cell r="E321" t="str">
            <v>Moderado</v>
          </cell>
        </row>
        <row r="322">
          <cell r="D322" t="str">
            <v>CaldasAguadas</v>
          </cell>
          <cell r="E322" t="str">
            <v>Bajo</v>
          </cell>
        </row>
        <row r="323">
          <cell r="D323" t="str">
            <v>CaldasAnserma</v>
          </cell>
          <cell r="E323" t="str">
            <v>Incipiente</v>
          </cell>
        </row>
        <row r="324">
          <cell r="D324" t="str">
            <v>CaldasAranzazu</v>
          </cell>
          <cell r="E324" t="str">
            <v>Bajo</v>
          </cell>
        </row>
        <row r="325">
          <cell r="D325" t="str">
            <v>CaldasBelalcázar</v>
          </cell>
          <cell r="E325" t="str">
            <v>Bajo</v>
          </cell>
        </row>
        <row r="326">
          <cell r="D326" t="str">
            <v>CaldasChinchiná</v>
          </cell>
          <cell r="E326" t="str">
            <v>Moderado</v>
          </cell>
        </row>
        <row r="327">
          <cell r="D327" t="str">
            <v>CaldasFiladelfia</v>
          </cell>
          <cell r="E327" t="str">
            <v>Bajo</v>
          </cell>
        </row>
        <row r="328">
          <cell r="D328" t="str">
            <v>CaldasLa Dorada</v>
          </cell>
          <cell r="E328" t="str">
            <v>Moderado</v>
          </cell>
        </row>
        <row r="329">
          <cell r="D329" t="str">
            <v>CaldasLa Merced</v>
          </cell>
          <cell r="E329" t="str">
            <v>Bajo</v>
          </cell>
        </row>
        <row r="330">
          <cell r="D330" t="str">
            <v>CaldasManzanares</v>
          </cell>
          <cell r="E330" t="str">
            <v>Bajo</v>
          </cell>
        </row>
        <row r="331">
          <cell r="D331" t="str">
            <v>CaldasMarmato</v>
          </cell>
          <cell r="E331" t="str">
            <v>Bajo</v>
          </cell>
        </row>
        <row r="332">
          <cell r="D332" t="str">
            <v>CaldasMarquetalia</v>
          </cell>
          <cell r="E332" t="str">
            <v>Bajo</v>
          </cell>
        </row>
        <row r="333">
          <cell r="D333" t="str">
            <v>CaldasMarulanda</v>
          </cell>
          <cell r="E333" t="str">
            <v>Bajo</v>
          </cell>
        </row>
        <row r="334">
          <cell r="D334" t="str">
            <v>CaldasNeira</v>
          </cell>
          <cell r="E334" t="str">
            <v>Incipiente</v>
          </cell>
        </row>
        <row r="335">
          <cell r="D335" t="str">
            <v>CaldasNorcasia</v>
          </cell>
          <cell r="E335" t="str">
            <v>Bajo</v>
          </cell>
        </row>
        <row r="336">
          <cell r="D336" t="str">
            <v>CaldasPácora</v>
          </cell>
          <cell r="E336" t="str">
            <v>Bajo</v>
          </cell>
        </row>
        <row r="337">
          <cell r="D337" t="str">
            <v>CaldasPalestina</v>
          </cell>
          <cell r="E337" t="str">
            <v>Incipiente</v>
          </cell>
        </row>
        <row r="338">
          <cell r="D338" t="str">
            <v>CaldasPensilvania</v>
          </cell>
          <cell r="E338" t="str">
            <v>Bajo</v>
          </cell>
        </row>
        <row r="339">
          <cell r="D339" t="str">
            <v>CaldasRiosucio</v>
          </cell>
          <cell r="E339" t="str">
            <v>Incipiente</v>
          </cell>
        </row>
        <row r="340">
          <cell r="D340" t="str">
            <v>CaldasRisaralda</v>
          </cell>
          <cell r="E340" t="str">
            <v>Incipiente</v>
          </cell>
        </row>
        <row r="341">
          <cell r="D341" t="str">
            <v>CaldasSalamina</v>
          </cell>
          <cell r="E341" t="str">
            <v>Incipiente</v>
          </cell>
        </row>
        <row r="342">
          <cell r="D342" t="str">
            <v>CaldasSamaná</v>
          </cell>
          <cell r="E342" t="str">
            <v>Limitado</v>
          </cell>
        </row>
        <row r="343">
          <cell r="D343" t="str">
            <v>CaldasSan José</v>
          </cell>
          <cell r="E343" t="str">
            <v>Bajo</v>
          </cell>
        </row>
        <row r="344">
          <cell r="D344" t="str">
            <v>CaldasSupía</v>
          </cell>
          <cell r="E344" t="str">
            <v>Incipiente</v>
          </cell>
        </row>
        <row r="345">
          <cell r="D345" t="str">
            <v>CaldasVictoria</v>
          </cell>
          <cell r="E345" t="str">
            <v>Bajo</v>
          </cell>
        </row>
        <row r="346">
          <cell r="D346" t="str">
            <v>CaldasVillamaría</v>
          </cell>
          <cell r="E346" t="str">
            <v>Moderado</v>
          </cell>
        </row>
        <row r="347">
          <cell r="D347" t="str">
            <v>CaldasViterbo</v>
          </cell>
          <cell r="E347" t="str">
            <v>Moderado</v>
          </cell>
        </row>
        <row r="348">
          <cell r="D348" t="str">
            <v>CaquetaFlorencia</v>
          </cell>
          <cell r="E348" t="str">
            <v>Moderado</v>
          </cell>
        </row>
        <row r="349">
          <cell r="D349" t="str">
            <v>CaquetaAlbania</v>
          </cell>
          <cell r="E349" t="str">
            <v>Bajo</v>
          </cell>
        </row>
        <row r="350">
          <cell r="D350" t="str">
            <v>CaquetaBelén de Los Andaquíes</v>
          </cell>
          <cell r="E350" t="str">
            <v>Bajo</v>
          </cell>
        </row>
        <row r="351">
          <cell r="D351" t="str">
            <v>CaquetaCartagena del Chairá</v>
          </cell>
          <cell r="E351" t="str">
            <v>Bajo</v>
          </cell>
        </row>
        <row r="352">
          <cell r="D352" t="str">
            <v>CaquetaCurillo</v>
          </cell>
          <cell r="E352" t="str">
            <v>Bajo</v>
          </cell>
        </row>
        <row r="353">
          <cell r="D353" t="str">
            <v>CaquetaEl Doncello</v>
          </cell>
          <cell r="E353" t="str">
            <v>Bajo</v>
          </cell>
        </row>
        <row r="354">
          <cell r="D354" t="str">
            <v>CaquetaEl Paujíl</v>
          </cell>
          <cell r="E354" t="str">
            <v>Bajo</v>
          </cell>
        </row>
        <row r="355">
          <cell r="D355" t="str">
            <v>CaquetaLa Montañita</v>
          </cell>
          <cell r="E355" t="str">
            <v>Bajo</v>
          </cell>
        </row>
        <row r="356">
          <cell r="D356" t="str">
            <v>CaquetaMilán</v>
          </cell>
          <cell r="E356" t="str">
            <v>Limitado</v>
          </cell>
        </row>
        <row r="357">
          <cell r="D357" t="str">
            <v>CaquetaMorelia</v>
          </cell>
          <cell r="E357" t="str">
            <v>Bajo</v>
          </cell>
        </row>
        <row r="358">
          <cell r="D358" t="str">
            <v>CaquetaPuerto Rico</v>
          </cell>
          <cell r="E358" t="str">
            <v>Bajo</v>
          </cell>
        </row>
        <row r="359">
          <cell r="D359" t="str">
            <v>CaquetaSan José del Fragua</v>
          </cell>
          <cell r="E359" t="str">
            <v>Bajo</v>
          </cell>
        </row>
        <row r="360">
          <cell r="D360" t="str">
            <v>CaquetaSan Vicente del Caguán</v>
          </cell>
          <cell r="E360" t="str">
            <v>Bajo</v>
          </cell>
        </row>
        <row r="361">
          <cell r="D361" t="str">
            <v>CaquetaSolano</v>
          </cell>
          <cell r="E361" t="str">
            <v>Limitado</v>
          </cell>
        </row>
        <row r="362">
          <cell r="D362" t="str">
            <v>CaquetaSolita</v>
          </cell>
          <cell r="E362" t="str">
            <v>Limitado</v>
          </cell>
        </row>
        <row r="363">
          <cell r="D363" t="str">
            <v>CaquetaValparaíso</v>
          </cell>
          <cell r="E363" t="str">
            <v>Bajo</v>
          </cell>
        </row>
        <row r="364">
          <cell r="D364" t="str">
            <v>CaucaPopayan</v>
          </cell>
          <cell r="E364" t="str">
            <v>Moderado</v>
          </cell>
        </row>
        <row r="365">
          <cell r="D365" t="str">
            <v>CaucaAlmaguer</v>
          </cell>
          <cell r="E365" t="str">
            <v>Bajo</v>
          </cell>
        </row>
        <row r="366">
          <cell r="D366" t="str">
            <v>CaucaArgelia</v>
          </cell>
          <cell r="E366" t="str">
            <v>Limitado</v>
          </cell>
        </row>
        <row r="367">
          <cell r="D367" t="str">
            <v>CaucaBalboa</v>
          </cell>
          <cell r="E367" t="str">
            <v>Bajo</v>
          </cell>
        </row>
        <row r="368">
          <cell r="D368" t="str">
            <v>CaucaBolívar</v>
          </cell>
          <cell r="E368" t="str">
            <v>Limitado</v>
          </cell>
        </row>
        <row r="369">
          <cell r="D369" t="str">
            <v>CaucaBuenos Aires</v>
          </cell>
          <cell r="E369" t="str">
            <v>Limitado</v>
          </cell>
        </row>
        <row r="370">
          <cell r="D370" t="str">
            <v>CaucaCajibío</v>
          </cell>
          <cell r="E370" t="str">
            <v>Bajo</v>
          </cell>
        </row>
        <row r="371">
          <cell r="D371" t="str">
            <v>CaucaCaldono</v>
          </cell>
          <cell r="E371" t="str">
            <v>Limitado</v>
          </cell>
        </row>
        <row r="372">
          <cell r="D372" t="str">
            <v>CaucaCaloto</v>
          </cell>
          <cell r="E372" t="str">
            <v>Bajo</v>
          </cell>
        </row>
        <row r="373">
          <cell r="D373" t="str">
            <v>CaucaCorinto</v>
          </cell>
          <cell r="E373" t="str">
            <v>Bajo</v>
          </cell>
        </row>
        <row r="374">
          <cell r="D374" t="str">
            <v>CaucaEl Tambo</v>
          </cell>
          <cell r="E374" t="str">
            <v>Bajo</v>
          </cell>
        </row>
        <row r="375">
          <cell r="D375" t="str">
            <v>CaucaFlorencia</v>
          </cell>
          <cell r="E375" t="str">
            <v>Limitado</v>
          </cell>
        </row>
        <row r="376">
          <cell r="D376" t="str">
            <v>CaucaGuachené</v>
          </cell>
          <cell r="E376" t="str">
            <v>Bajo</v>
          </cell>
        </row>
        <row r="377">
          <cell r="D377" t="str">
            <v>CaucaGuapi</v>
          </cell>
          <cell r="E377" t="str">
            <v>Limitado</v>
          </cell>
        </row>
        <row r="378">
          <cell r="D378" t="str">
            <v>CaucaInzá</v>
          </cell>
          <cell r="E378" t="str">
            <v>Bajo</v>
          </cell>
        </row>
        <row r="379">
          <cell r="D379" t="str">
            <v>CaucaJambaló</v>
          </cell>
          <cell r="E379" t="str">
            <v>Limitado</v>
          </cell>
        </row>
        <row r="380">
          <cell r="D380" t="str">
            <v>CaucaLa Sierra</v>
          </cell>
          <cell r="E380" t="str">
            <v>Bajo</v>
          </cell>
        </row>
        <row r="381">
          <cell r="D381" t="str">
            <v>CaucaLa Vega</v>
          </cell>
          <cell r="E381" t="str">
            <v>Limitado</v>
          </cell>
        </row>
        <row r="382">
          <cell r="D382" t="str">
            <v>CaucaLópez de Micay</v>
          </cell>
          <cell r="E382" t="str">
            <v>Limitado</v>
          </cell>
        </row>
        <row r="383">
          <cell r="D383" t="str">
            <v>CaucaMercaderes</v>
          </cell>
          <cell r="E383" t="str">
            <v>Bajo</v>
          </cell>
        </row>
        <row r="384">
          <cell r="D384" t="str">
            <v>CaucaMiranda</v>
          </cell>
          <cell r="E384" t="str">
            <v>Incipiente</v>
          </cell>
        </row>
        <row r="385">
          <cell r="D385" t="str">
            <v>CaucaMorales</v>
          </cell>
          <cell r="E385" t="str">
            <v>Bajo</v>
          </cell>
        </row>
        <row r="386">
          <cell r="D386" t="str">
            <v>CaucaPadilla</v>
          </cell>
          <cell r="E386" t="str">
            <v>Bajo</v>
          </cell>
        </row>
        <row r="387">
          <cell r="D387" t="str">
            <v>CaucaPáez</v>
          </cell>
          <cell r="E387" t="str">
            <v>Limitado</v>
          </cell>
        </row>
        <row r="388">
          <cell r="D388" t="str">
            <v>CaucaPatía</v>
          </cell>
          <cell r="E388" t="str">
            <v>Incipiente</v>
          </cell>
        </row>
        <row r="389">
          <cell r="D389" t="str">
            <v>CaucaPiamonte</v>
          </cell>
          <cell r="E389" t="str">
            <v>Limitado</v>
          </cell>
        </row>
        <row r="390">
          <cell r="D390" t="str">
            <v>CaucaPiendamó - Tunía</v>
          </cell>
          <cell r="E390" t="str">
            <v>Incipiente</v>
          </cell>
        </row>
        <row r="391">
          <cell r="D391" t="str">
            <v>CaucaPuerto Tejada</v>
          </cell>
          <cell r="E391" t="str">
            <v>Moderado</v>
          </cell>
        </row>
        <row r="392">
          <cell r="D392" t="str">
            <v>CaucaPuracé</v>
          </cell>
          <cell r="E392" t="str">
            <v>Bajo</v>
          </cell>
        </row>
        <row r="393">
          <cell r="D393" t="str">
            <v>CaucaRosas</v>
          </cell>
          <cell r="E393" t="str">
            <v>Bajo</v>
          </cell>
        </row>
        <row r="394">
          <cell r="D394" t="str">
            <v>CaucaSan Sebastián</v>
          </cell>
          <cell r="E394" t="str">
            <v>Limitado</v>
          </cell>
        </row>
        <row r="395">
          <cell r="D395" t="str">
            <v>CaucaSantander de Quilichao</v>
          </cell>
          <cell r="E395" t="str">
            <v>Moderado</v>
          </cell>
        </row>
        <row r="396">
          <cell r="D396" t="str">
            <v>CaucaSanta Rosa</v>
          </cell>
          <cell r="E396" t="str">
            <v>Limitado</v>
          </cell>
        </row>
        <row r="397">
          <cell r="D397" t="str">
            <v>CaucaSilvia</v>
          </cell>
          <cell r="E397" t="str">
            <v>Bajo</v>
          </cell>
        </row>
        <row r="398">
          <cell r="D398" t="str">
            <v>CaucaSotará Paispamba</v>
          </cell>
          <cell r="E398" t="str">
            <v>Limitado</v>
          </cell>
        </row>
        <row r="399">
          <cell r="D399" t="str">
            <v>CaucaSuárez</v>
          </cell>
          <cell r="E399" t="str">
            <v>Limitado</v>
          </cell>
        </row>
        <row r="400">
          <cell r="D400" t="str">
            <v>CaucaSucre</v>
          </cell>
          <cell r="E400" t="str">
            <v>Limitado</v>
          </cell>
        </row>
        <row r="401">
          <cell r="D401" t="str">
            <v>CaucaTimbío</v>
          </cell>
          <cell r="E401" t="str">
            <v>Bajo</v>
          </cell>
        </row>
        <row r="402">
          <cell r="D402" t="str">
            <v>CaucaTimbiquí</v>
          </cell>
          <cell r="E402" t="str">
            <v>Limitado</v>
          </cell>
        </row>
        <row r="403">
          <cell r="D403" t="str">
            <v>CaucaToribío</v>
          </cell>
          <cell r="E403" t="str">
            <v>Limitado</v>
          </cell>
        </row>
        <row r="404">
          <cell r="D404" t="str">
            <v>CaucaTotoró</v>
          </cell>
          <cell r="E404" t="str">
            <v>Bajo</v>
          </cell>
        </row>
        <row r="405">
          <cell r="D405" t="str">
            <v>CaucaVilla Rica</v>
          </cell>
          <cell r="E405" t="str">
            <v>Bajo</v>
          </cell>
        </row>
        <row r="406">
          <cell r="D406" t="str">
            <v>CesarValledupar</v>
          </cell>
          <cell r="E406" t="str">
            <v>Moderado</v>
          </cell>
        </row>
        <row r="407">
          <cell r="D407" t="str">
            <v>CesarAguachica</v>
          </cell>
          <cell r="E407" t="str">
            <v>Incipiente</v>
          </cell>
        </row>
        <row r="408">
          <cell r="D408" t="str">
            <v>CesarAgustín Codazzi</v>
          </cell>
          <cell r="E408" t="str">
            <v>Incipiente</v>
          </cell>
        </row>
        <row r="409">
          <cell r="D409" t="str">
            <v>CesarAstrea</v>
          </cell>
          <cell r="E409" t="str">
            <v>Bajo</v>
          </cell>
        </row>
        <row r="410">
          <cell r="D410" t="str">
            <v>CesarBecerril</v>
          </cell>
          <cell r="E410" t="str">
            <v>Bajo</v>
          </cell>
        </row>
        <row r="411">
          <cell r="D411" t="str">
            <v>CesarBosconia</v>
          </cell>
          <cell r="E411" t="str">
            <v>Incipiente</v>
          </cell>
        </row>
        <row r="412">
          <cell r="D412" t="str">
            <v>CesarChimichagua</v>
          </cell>
          <cell r="E412" t="str">
            <v>Bajo</v>
          </cell>
        </row>
        <row r="413">
          <cell r="D413" t="str">
            <v>CesarChiriguaná</v>
          </cell>
          <cell r="E413" t="str">
            <v>Bajo</v>
          </cell>
        </row>
        <row r="414">
          <cell r="D414" t="str">
            <v>CesarCurumaní</v>
          </cell>
          <cell r="E414" t="str">
            <v>Incipiente</v>
          </cell>
        </row>
        <row r="415">
          <cell r="D415" t="str">
            <v>CesarEl Copey</v>
          </cell>
          <cell r="E415" t="str">
            <v>Limitado</v>
          </cell>
        </row>
        <row r="416">
          <cell r="D416" t="str">
            <v>CesarEl Paso</v>
          </cell>
          <cell r="E416" t="str">
            <v>Bajo</v>
          </cell>
        </row>
        <row r="417">
          <cell r="D417" t="str">
            <v>CesarGamarra</v>
          </cell>
          <cell r="E417" t="str">
            <v>Bajo</v>
          </cell>
        </row>
        <row r="418">
          <cell r="D418" t="str">
            <v>CesarGonzález</v>
          </cell>
          <cell r="E418" t="str">
            <v>Limitado</v>
          </cell>
        </row>
        <row r="419">
          <cell r="D419" t="str">
            <v>CesarLa Gloria</v>
          </cell>
          <cell r="E419" t="str">
            <v>Bajo</v>
          </cell>
        </row>
        <row r="420">
          <cell r="D420" t="str">
            <v>CesarLa Jagua de Ibirico</v>
          </cell>
          <cell r="E420" t="str">
            <v>Incipiente</v>
          </cell>
        </row>
        <row r="421">
          <cell r="D421" t="str">
            <v>CesarManaure Balcón del Cesar</v>
          </cell>
          <cell r="E421" t="str">
            <v>Bajo</v>
          </cell>
        </row>
        <row r="422">
          <cell r="D422" t="str">
            <v>CesarPailitas</v>
          </cell>
          <cell r="E422" t="str">
            <v>Bajo</v>
          </cell>
        </row>
        <row r="423">
          <cell r="D423" t="str">
            <v>CesarPelaya</v>
          </cell>
          <cell r="E423" t="str">
            <v>Bajo</v>
          </cell>
        </row>
        <row r="424">
          <cell r="D424" t="str">
            <v>CesarPueblo Bello</v>
          </cell>
          <cell r="E424" t="str">
            <v>Bajo</v>
          </cell>
        </row>
        <row r="425">
          <cell r="D425" t="str">
            <v>CesarRío de Oro</v>
          </cell>
          <cell r="E425" t="str">
            <v>Bajo</v>
          </cell>
        </row>
        <row r="426">
          <cell r="D426" t="str">
            <v>CesarLa Paz</v>
          </cell>
          <cell r="E426" t="str">
            <v>Incipiente</v>
          </cell>
        </row>
        <row r="427">
          <cell r="D427" t="str">
            <v>CesarSan Alberto</v>
          </cell>
          <cell r="E427" t="str">
            <v>Incipiente</v>
          </cell>
        </row>
        <row r="428">
          <cell r="D428" t="str">
            <v>CesarSan Diego</v>
          </cell>
          <cell r="E428" t="str">
            <v>Bajo</v>
          </cell>
        </row>
        <row r="429">
          <cell r="D429" t="str">
            <v>CesarSan Martín</v>
          </cell>
          <cell r="E429" t="str">
            <v>Bajo</v>
          </cell>
        </row>
        <row r="430">
          <cell r="D430" t="str">
            <v>CesarTamalameque</v>
          </cell>
          <cell r="E430" t="str">
            <v>Bajo</v>
          </cell>
        </row>
        <row r="431">
          <cell r="D431" t="str">
            <v>CordobaMonteria</v>
          </cell>
          <cell r="E431" t="str">
            <v>Moderado</v>
          </cell>
        </row>
        <row r="432">
          <cell r="D432" t="str">
            <v>CordobaAyapel</v>
          </cell>
          <cell r="E432" t="str">
            <v>Incipiente</v>
          </cell>
        </row>
        <row r="433">
          <cell r="D433" t="str">
            <v>CordobaBuenavista</v>
          </cell>
          <cell r="E433" t="str">
            <v>Bajo</v>
          </cell>
        </row>
        <row r="434">
          <cell r="D434" t="str">
            <v>CordobaCanalete</v>
          </cell>
          <cell r="E434" t="str">
            <v>Limitado</v>
          </cell>
        </row>
        <row r="435">
          <cell r="D435" t="str">
            <v>CordobaCerete</v>
          </cell>
          <cell r="E435" t="str">
            <v>Incipiente</v>
          </cell>
        </row>
        <row r="436">
          <cell r="D436" t="str">
            <v>CordobaChimá</v>
          </cell>
          <cell r="E436" t="str">
            <v>Bajo</v>
          </cell>
        </row>
        <row r="437">
          <cell r="D437" t="str">
            <v>CordobaChinú</v>
          </cell>
          <cell r="E437" t="str">
            <v>Incipiente</v>
          </cell>
        </row>
        <row r="438">
          <cell r="D438" t="str">
            <v>CordobaCiénaga de Oro</v>
          </cell>
          <cell r="E438" t="str">
            <v>Bajo</v>
          </cell>
        </row>
        <row r="439">
          <cell r="D439" t="str">
            <v>CordobaCotorra</v>
          </cell>
          <cell r="E439" t="str">
            <v>Bajo</v>
          </cell>
        </row>
        <row r="440">
          <cell r="D440" t="str">
            <v>CordobaLa Apartada</v>
          </cell>
          <cell r="E440" t="str">
            <v>Incipiente</v>
          </cell>
        </row>
        <row r="441">
          <cell r="D441" t="str">
            <v>CordobaLorica</v>
          </cell>
          <cell r="E441" t="str">
            <v>Incipiente</v>
          </cell>
        </row>
        <row r="442">
          <cell r="D442" t="str">
            <v>CordobaLos Córdobas</v>
          </cell>
          <cell r="E442" t="str">
            <v>Limitado</v>
          </cell>
        </row>
        <row r="443">
          <cell r="D443" t="str">
            <v>CordobaMomil</v>
          </cell>
          <cell r="E443" t="str">
            <v>Bajo</v>
          </cell>
        </row>
        <row r="444">
          <cell r="D444" t="str">
            <v>CordobaMontelíbano</v>
          </cell>
          <cell r="E444" t="str">
            <v>Incipiente</v>
          </cell>
        </row>
        <row r="445">
          <cell r="D445" t="str">
            <v>CordobaMoñitos</v>
          </cell>
          <cell r="E445" t="str">
            <v>Bajo</v>
          </cell>
        </row>
        <row r="446">
          <cell r="D446" t="str">
            <v>CordobaPlaneta Rica</v>
          </cell>
          <cell r="E446" t="str">
            <v>Incipiente</v>
          </cell>
        </row>
        <row r="447">
          <cell r="D447" t="str">
            <v>CordobaPueblo Nuevo</v>
          </cell>
          <cell r="E447" t="str">
            <v>Bajo</v>
          </cell>
        </row>
        <row r="448">
          <cell r="D448" t="str">
            <v>CordobaPuerto Escondido</v>
          </cell>
          <cell r="E448" t="str">
            <v>Bajo</v>
          </cell>
        </row>
        <row r="449">
          <cell r="D449" t="str">
            <v>CordobaPuerto Libertador</v>
          </cell>
          <cell r="E449" t="str">
            <v>Bajo</v>
          </cell>
        </row>
        <row r="450">
          <cell r="D450" t="str">
            <v>CordobaPurísima de La Concepción</v>
          </cell>
          <cell r="E450" t="str">
            <v>Bajo</v>
          </cell>
        </row>
        <row r="451">
          <cell r="D451" t="str">
            <v>CordobaSahagún</v>
          </cell>
          <cell r="E451" t="str">
            <v>Incipiente</v>
          </cell>
        </row>
        <row r="452">
          <cell r="D452" t="str">
            <v>CordobaSan Andrés Sotavento</v>
          </cell>
          <cell r="E452" t="str">
            <v>Bajo</v>
          </cell>
        </row>
        <row r="453">
          <cell r="D453" t="str">
            <v>CordobaSan Antero</v>
          </cell>
          <cell r="E453" t="str">
            <v>Incipiente</v>
          </cell>
        </row>
        <row r="454">
          <cell r="D454" t="str">
            <v>CordobaSan Bernardo del Viento</v>
          </cell>
          <cell r="E454" t="str">
            <v>Bajo</v>
          </cell>
        </row>
        <row r="455">
          <cell r="D455" t="str">
            <v>CordobaSan Carlos</v>
          </cell>
          <cell r="E455" t="str">
            <v>Bajo</v>
          </cell>
        </row>
        <row r="456">
          <cell r="D456" t="str">
            <v>CordobaSan José de Uré</v>
          </cell>
          <cell r="E456" t="str">
            <v>Limitado</v>
          </cell>
        </row>
        <row r="457">
          <cell r="D457" t="str">
            <v>CordobaSan Pelayo</v>
          </cell>
          <cell r="E457" t="str">
            <v>Bajo</v>
          </cell>
        </row>
        <row r="458">
          <cell r="D458" t="str">
            <v>CordobaTierralta</v>
          </cell>
          <cell r="E458" t="str">
            <v>Incipiente</v>
          </cell>
        </row>
        <row r="459">
          <cell r="D459" t="str">
            <v>CordobaTuchín</v>
          </cell>
          <cell r="E459" t="str">
            <v>Limitado</v>
          </cell>
        </row>
        <row r="460">
          <cell r="D460" t="str">
            <v>CordobaValencia</v>
          </cell>
          <cell r="E460" t="str">
            <v>Bajo</v>
          </cell>
        </row>
        <row r="461">
          <cell r="D461" t="str">
            <v>CundinamarcaAgua de Dios</v>
          </cell>
          <cell r="E461" t="str">
            <v>Incipiente</v>
          </cell>
        </row>
        <row r="462">
          <cell r="D462" t="str">
            <v>CundinamarcaAlbán</v>
          </cell>
          <cell r="E462" t="str">
            <v>Bajo</v>
          </cell>
        </row>
        <row r="463">
          <cell r="D463" t="str">
            <v>CundinamarcaAnapoima</v>
          </cell>
          <cell r="E463" t="str">
            <v>Incipiente</v>
          </cell>
        </row>
        <row r="464">
          <cell r="D464" t="str">
            <v>CundinamarcaAnolaima</v>
          </cell>
          <cell r="E464" t="str">
            <v>Bajo</v>
          </cell>
        </row>
        <row r="465">
          <cell r="D465" t="str">
            <v>CundinamarcaArbeláez</v>
          </cell>
          <cell r="E465" t="str">
            <v>Incipiente</v>
          </cell>
        </row>
        <row r="466">
          <cell r="D466" t="str">
            <v>CundinamarcaBeltrán</v>
          </cell>
          <cell r="E466" t="str">
            <v>Bajo</v>
          </cell>
        </row>
        <row r="467">
          <cell r="D467" t="str">
            <v>CundinamarcaBituima</v>
          </cell>
          <cell r="E467" t="str">
            <v>Bajo</v>
          </cell>
        </row>
        <row r="468">
          <cell r="D468" t="str">
            <v>CundinamarcaBojacá</v>
          </cell>
          <cell r="E468" t="str">
            <v>Incipiente</v>
          </cell>
        </row>
        <row r="469">
          <cell r="D469" t="str">
            <v>CundinamarcaCabrera</v>
          </cell>
          <cell r="E469" t="str">
            <v>Bajo</v>
          </cell>
        </row>
        <row r="470">
          <cell r="D470" t="str">
            <v>CundinamarcaCachipay</v>
          </cell>
          <cell r="E470" t="str">
            <v>Bajo</v>
          </cell>
        </row>
        <row r="471">
          <cell r="D471" t="str">
            <v>CundinamarcaCajica</v>
          </cell>
          <cell r="E471" t="str">
            <v>Moderado</v>
          </cell>
        </row>
        <row r="472">
          <cell r="D472" t="str">
            <v>CundinamarcaCaparrapí</v>
          </cell>
          <cell r="E472" t="str">
            <v>Bajo</v>
          </cell>
        </row>
        <row r="473">
          <cell r="D473" t="str">
            <v>CundinamarcaCáqueza</v>
          </cell>
          <cell r="E473" t="str">
            <v>Incipiente</v>
          </cell>
        </row>
        <row r="474">
          <cell r="D474" t="str">
            <v>CundinamarcaCarmen de Carupa</v>
          </cell>
          <cell r="E474" t="str">
            <v>Bajo</v>
          </cell>
        </row>
        <row r="475">
          <cell r="D475" t="str">
            <v>CundinamarcaChaguaní</v>
          </cell>
          <cell r="E475" t="str">
            <v>Bajo</v>
          </cell>
        </row>
        <row r="476">
          <cell r="D476" t="str">
            <v>CundinamarcaChia</v>
          </cell>
          <cell r="E476" t="str">
            <v>Moderado</v>
          </cell>
        </row>
        <row r="477">
          <cell r="D477" t="str">
            <v>CundinamarcaChipaque</v>
          </cell>
          <cell r="E477" t="str">
            <v>Bajo</v>
          </cell>
        </row>
        <row r="478">
          <cell r="D478" t="str">
            <v>CundinamarcaChoachí</v>
          </cell>
          <cell r="E478" t="str">
            <v>Incipiente</v>
          </cell>
        </row>
        <row r="479">
          <cell r="D479" t="str">
            <v>CundinamarcaChocontá</v>
          </cell>
          <cell r="E479" t="str">
            <v>Incipiente</v>
          </cell>
        </row>
        <row r="480">
          <cell r="D480" t="str">
            <v>CundinamarcaCogua</v>
          </cell>
          <cell r="E480" t="str">
            <v>Incipiente</v>
          </cell>
        </row>
        <row r="481">
          <cell r="D481" t="str">
            <v>CundinamarcaCota</v>
          </cell>
          <cell r="E481" t="str">
            <v>Moderado</v>
          </cell>
        </row>
        <row r="482">
          <cell r="D482" t="str">
            <v>CundinamarcaCucunubá</v>
          </cell>
          <cell r="E482" t="str">
            <v>Bajo</v>
          </cell>
        </row>
        <row r="483">
          <cell r="D483" t="str">
            <v>CundinamarcaEl Colegio</v>
          </cell>
          <cell r="E483" t="str">
            <v>Incipiente</v>
          </cell>
        </row>
        <row r="484">
          <cell r="D484" t="str">
            <v>CundinamarcaEl Peñón</v>
          </cell>
          <cell r="E484" t="str">
            <v>Bajo</v>
          </cell>
        </row>
        <row r="485">
          <cell r="D485" t="str">
            <v>CundinamarcaEl Rosal</v>
          </cell>
          <cell r="E485" t="str">
            <v>Incipiente</v>
          </cell>
        </row>
        <row r="486">
          <cell r="D486" t="str">
            <v>CundinamarcaFacatativa</v>
          </cell>
          <cell r="E486" t="str">
            <v>Moderado</v>
          </cell>
        </row>
        <row r="487">
          <cell r="D487" t="str">
            <v>CundinamarcaFómeque</v>
          </cell>
          <cell r="E487" t="str">
            <v>Bajo</v>
          </cell>
        </row>
        <row r="488">
          <cell r="D488" t="str">
            <v>CundinamarcaFosca</v>
          </cell>
          <cell r="E488" t="str">
            <v>Bajo</v>
          </cell>
        </row>
        <row r="489">
          <cell r="D489" t="str">
            <v>CundinamarcaFunza</v>
          </cell>
          <cell r="E489" t="str">
            <v>Moderado</v>
          </cell>
        </row>
        <row r="490">
          <cell r="D490" t="str">
            <v>CundinamarcaFúquene</v>
          </cell>
          <cell r="E490" t="str">
            <v>Bajo</v>
          </cell>
        </row>
        <row r="491">
          <cell r="D491" t="str">
            <v>CundinamarcaFusagasuga</v>
          </cell>
          <cell r="E491" t="str">
            <v>Moderado</v>
          </cell>
        </row>
        <row r="492">
          <cell r="D492" t="str">
            <v>CundinamarcaGachalá</v>
          </cell>
          <cell r="E492" t="str">
            <v>Bajo</v>
          </cell>
        </row>
        <row r="493">
          <cell r="D493" t="str">
            <v>CundinamarcaGachancipá</v>
          </cell>
          <cell r="E493" t="str">
            <v>Incipiente</v>
          </cell>
        </row>
        <row r="494">
          <cell r="D494" t="str">
            <v>CundinamarcaGachetá</v>
          </cell>
          <cell r="E494" t="str">
            <v>Bajo</v>
          </cell>
        </row>
        <row r="495">
          <cell r="D495" t="str">
            <v>CundinamarcaGama</v>
          </cell>
          <cell r="E495" t="str">
            <v>Bajo</v>
          </cell>
        </row>
        <row r="496">
          <cell r="D496" t="str">
            <v>CundinamarcaGirardot</v>
          </cell>
          <cell r="E496" t="str">
            <v>Moderado</v>
          </cell>
        </row>
        <row r="497">
          <cell r="D497" t="str">
            <v>CundinamarcaGranada</v>
          </cell>
          <cell r="E497" t="str">
            <v>Bajo</v>
          </cell>
        </row>
        <row r="498">
          <cell r="D498" t="str">
            <v>CundinamarcaGuachetá</v>
          </cell>
          <cell r="E498" t="str">
            <v>Incipiente</v>
          </cell>
        </row>
        <row r="499">
          <cell r="D499" t="str">
            <v>CundinamarcaGuaduas</v>
          </cell>
          <cell r="E499" t="str">
            <v>Incipiente</v>
          </cell>
        </row>
        <row r="500">
          <cell r="D500" t="str">
            <v>CundinamarcaGuasca</v>
          </cell>
          <cell r="E500" t="str">
            <v>Incipiente</v>
          </cell>
        </row>
        <row r="501">
          <cell r="D501" t="str">
            <v>CundinamarcaGuataquí</v>
          </cell>
          <cell r="E501" t="str">
            <v>Bajo</v>
          </cell>
        </row>
        <row r="502">
          <cell r="D502" t="str">
            <v>CundinamarcaGuatavita</v>
          </cell>
          <cell r="E502" t="str">
            <v>Bajo</v>
          </cell>
        </row>
        <row r="503">
          <cell r="D503" t="str">
            <v>CundinamarcaGuayabal de Síquima</v>
          </cell>
          <cell r="E503" t="str">
            <v>Bajo</v>
          </cell>
        </row>
        <row r="504">
          <cell r="D504" t="str">
            <v>CundinamarcaGuayabetal</v>
          </cell>
          <cell r="E504" t="str">
            <v>Bajo</v>
          </cell>
        </row>
        <row r="505">
          <cell r="D505" t="str">
            <v>CundinamarcaGutiérrez</v>
          </cell>
          <cell r="E505" t="str">
            <v>Bajo</v>
          </cell>
        </row>
        <row r="506">
          <cell r="D506" t="str">
            <v>CundinamarcaJerusalén</v>
          </cell>
          <cell r="E506" t="str">
            <v>Limitado</v>
          </cell>
        </row>
        <row r="507">
          <cell r="D507" t="str">
            <v>CundinamarcaJunín</v>
          </cell>
          <cell r="E507" t="str">
            <v>Bajo</v>
          </cell>
        </row>
        <row r="508">
          <cell r="D508" t="str">
            <v>CundinamarcaLa Calera</v>
          </cell>
          <cell r="E508" t="str">
            <v>Moderado</v>
          </cell>
        </row>
        <row r="509">
          <cell r="D509" t="str">
            <v>CundinamarcaLa Mesa</v>
          </cell>
          <cell r="E509" t="str">
            <v>Moderado</v>
          </cell>
        </row>
        <row r="510">
          <cell r="D510" t="str">
            <v>CundinamarcaLa Palma</v>
          </cell>
          <cell r="E510" t="str">
            <v>Bajo</v>
          </cell>
        </row>
        <row r="511">
          <cell r="D511" t="str">
            <v>CundinamarcaLa Peña</v>
          </cell>
          <cell r="E511" t="str">
            <v>Bajo</v>
          </cell>
        </row>
        <row r="512">
          <cell r="D512" t="str">
            <v>CundinamarcaLa Vega</v>
          </cell>
          <cell r="E512" t="str">
            <v>Incipiente</v>
          </cell>
        </row>
        <row r="513">
          <cell r="D513" t="str">
            <v>CundinamarcaLenguazaque</v>
          </cell>
          <cell r="E513" t="str">
            <v>Bajo</v>
          </cell>
        </row>
        <row r="514">
          <cell r="D514" t="str">
            <v>CundinamarcaMachetá</v>
          </cell>
          <cell r="E514" t="str">
            <v>Bajo</v>
          </cell>
        </row>
        <row r="515">
          <cell r="D515" t="str">
            <v>CundinamarcaMadrid</v>
          </cell>
          <cell r="E515" t="str">
            <v>Moderado</v>
          </cell>
        </row>
        <row r="516">
          <cell r="D516" t="str">
            <v>CundinamarcaManta</v>
          </cell>
          <cell r="E516" t="str">
            <v>Bajo</v>
          </cell>
        </row>
        <row r="517">
          <cell r="D517" t="str">
            <v>CundinamarcaMedina</v>
          </cell>
          <cell r="E517" t="str">
            <v>Bajo</v>
          </cell>
        </row>
        <row r="518">
          <cell r="D518" t="str">
            <v>CundinamarcaMosquera</v>
          </cell>
          <cell r="E518" t="str">
            <v>Moderado</v>
          </cell>
        </row>
        <row r="519">
          <cell r="D519" t="str">
            <v>CundinamarcaNariño</v>
          </cell>
          <cell r="E519" t="str">
            <v>Bajo</v>
          </cell>
        </row>
        <row r="520">
          <cell r="D520" t="str">
            <v>CundinamarcaNemocón</v>
          </cell>
          <cell r="E520" t="str">
            <v>Incipiente</v>
          </cell>
        </row>
        <row r="521">
          <cell r="D521" t="str">
            <v>CundinamarcaNilo</v>
          </cell>
          <cell r="E521" t="str">
            <v>Bajo</v>
          </cell>
        </row>
        <row r="522">
          <cell r="D522" t="str">
            <v>CundinamarcaNimaima</v>
          </cell>
          <cell r="E522" t="str">
            <v>Bajo</v>
          </cell>
        </row>
        <row r="523">
          <cell r="D523" t="str">
            <v>CundinamarcaNocaima</v>
          </cell>
          <cell r="E523" t="str">
            <v>Bajo</v>
          </cell>
        </row>
        <row r="524">
          <cell r="D524" t="str">
            <v>CundinamarcaVenecia</v>
          </cell>
          <cell r="E524" t="str">
            <v>Bajo</v>
          </cell>
        </row>
        <row r="525">
          <cell r="D525" t="str">
            <v>CundinamarcaPacho</v>
          </cell>
          <cell r="E525" t="str">
            <v>Incipiente</v>
          </cell>
        </row>
        <row r="526">
          <cell r="D526" t="str">
            <v>CundinamarcaPaime</v>
          </cell>
          <cell r="E526" t="str">
            <v>Bajo</v>
          </cell>
        </row>
        <row r="527">
          <cell r="D527" t="str">
            <v>CundinamarcaPandi</v>
          </cell>
          <cell r="E527" t="str">
            <v>Bajo</v>
          </cell>
        </row>
        <row r="528">
          <cell r="D528" t="str">
            <v>CundinamarcaParatebueno</v>
          </cell>
          <cell r="E528" t="str">
            <v>Bajo</v>
          </cell>
        </row>
        <row r="529">
          <cell r="D529" t="str">
            <v>CundinamarcaPasca</v>
          </cell>
          <cell r="E529" t="str">
            <v>Bajo</v>
          </cell>
        </row>
        <row r="530">
          <cell r="D530" t="str">
            <v>CundinamarcaPuerto Salgar</v>
          </cell>
          <cell r="E530" t="str">
            <v>Incipiente</v>
          </cell>
        </row>
        <row r="531">
          <cell r="D531" t="str">
            <v>CundinamarcaPulí</v>
          </cell>
          <cell r="E531" t="str">
            <v>Limitado</v>
          </cell>
        </row>
        <row r="532">
          <cell r="D532" t="str">
            <v>CundinamarcaQuebradanegra</v>
          </cell>
          <cell r="E532" t="str">
            <v>Bajo</v>
          </cell>
        </row>
        <row r="533">
          <cell r="D533" t="str">
            <v>CundinamarcaQuetame</v>
          </cell>
          <cell r="E533" t="str">
            <v>Bajo</v>
          </cell>
        </row>
        <row r="534">
          <cell r="D534" t="str">
            <v>CundinamarcaQuipile</v>
          </cell>
          <cell r="E534" t="str">
            <v>Bajo</v>
          </cell>
        </row>
        <row r="535">
          <cell r="D535" t="str">
            <v>CundinamarcaApulo</v>
          </cell>
          <cell r="E535" t="str">
            <v>Incipiente</v>
          </cell>
        </row>
        <row r="536">
          <cell r="D536" t="str">
            <v>CundinamarcaRicaurte</v>
          </cell>
          <cell r="E536" t="str">
            <v>Incipiente</v>
          </cell>
        </row>
        <row r="537">
          <cell r="D537" t="str">
            <v>CundinamarcaSan Antonio del Tequendama</v>
          </cell>
          <cell r="E537" t="str">
            <v>Bajo</v>
          </cell>
        </row>
        <row r="538">
          <cell r="D538" t="str">
            <v>CundinamarcaSan Bernardo</v>
          </cell>
          <cell r="E538" t="str">
            <v>Bajo</v>
          </cell>
        </row>
        <row r="539">
          <cell r="D539" t="str">
            <v>CundinamarcaSan Cayetano</v>
          </cell>
          <cell r="E539" t="str">
            <v>Limitado</v>
          </cell>
        </row>
        <row r="540">
          <cell r="D540" t="str">
            <v>CundinamarcaSan Francisco</v>
          </cell>
          <cell r="E540" t="str">
            <v>Bajo</v>
          </cell>
        </row>
        <row r="541">
          <cell r="D541" t="str">
            <v>CundinamarcaSan Juan de Rioseco</v>
          </cell>
          <cell r="E541" t="str">
            <v>Bajo</v>
          </cell>
        </row>
        <row r="542">
          <cell r="D542" t="str">
            <v>CundinamarcaSasaima</v>
          </cell>
          <cell r="E542" t="str">
            <v>Bajo</v>
          </cell>
        </row>
        <row r="543">
          <cell r="D543" t="str">
            <v>CundinamarcaSesquilé</v>
          </cell>
          <cell r="E543" t="str">
            <v>Incipiente</v>
          </cell>
        </row>
        <row r="544">
          <cell r="D544" t="str">
            <v>CundinamarcaSibate</v>
          </cell>
          <cell r="E544" t="str">
            <v>Moderado</v>
          </cell>
        </row>
        <row r="545">
          <cell r="D545" t="str">
            <v>CundinamarcaSilvania</v>
          </cell>
          <cell r="E545" t="str">
            <v>Incipiente</v>
          </cell>
        </row>
        <row r="546">
          <cell r="D546" t="str">
            <v>CundinamarcaSimijaca</v>
          </cell>
          <cell r="E546" t="str">
            <v>Bajo</v>
          </cell>
        </row>
        <row r="547">
          <cell r="D547" t="str">
            <v>CundinamarcaSoacha</v>
          </cell>
          <cell r="E547" t="str">
            <v>Alto</v>
          </cell>
        </row>
        <row r="548">
          <cell r="D548" t="str">
            <v>CundinamarcaSopo</v>
          </cell>
          <cell r="E548" t="str">
            <v>Moderado</v>
          </cell>
        </row>
        <row r="549">
          <cell r="D549" t="str">
            <v>CundinamarcaSubachoque</v>
          </cell>
          <cell r="E549" t="str">
            <v>Incipiente</v>
          </cell>
        </row>
        <row r="550">
          <cell r="D550" t="str">
            <v>CundinamarcaSuesca</v>
          </cell>
          <cell r="E550" t="str">
            <v>Bajo</v>
          </cell>
        </row>
        <row r="551">
          <cell r="D551" t="str">
            <v>CundinamarcaSupatá</v>
          </cell>
          <cell r="E551" t="str">
            <v>Bajo</v>
          </cell>
        </row>
        <row r="552">
          <cell r="D552" t="str">
            <v>CundinamarcaSusa</v>
          </cell>
          <cell r="E552" t="str">
            <v>Bajo</v>
          </cell>
        </row>
        <row r="553">
          <cell r="D553" t="str">
            <v>CundinamarcaSutatausa</v>
          </cell>
          <cell r="E553" t="str">
            <v>Bajo</v>
          </cell>
        </row>
        <row r="554">
          <cell r="D554" t="str">
            <v>CundinamarcaTabio</v>
          </cell>
          <cell r="E554" t="str">
            <v>Moderado</v>
          </cell>
        </row>
        <row r="555">
          <cell r="D555" t="str">
            <v>CundinamarcaTausa</v>
          </cell>
          <cell r="E555" t="str">
            <v>Bajo</v>
          </cell>
        </row>
        <row r="556">
          <cell r="D556" t="str">
            <v>CundinamarcaTena</v>
          </cell>
          <cell r="E556" t="str">
            <v>Bajo</v>
          </cell>
        </row>
        <row r="557">
          <cell r="D557" t="str">
            <v>CundinamarcaTenjo</v>
          </cell>
          <cell r="E557" t="str">
            <v>Moderado</v>
          </cell>
        </row>
        <row r="558">
          <cell r="D558" t="str">
            <v>CundinamarcaTibacuy</v>
          </cell>
          <cell r="E558" t="str">
            <v>Bajo</v>
          </cell>
        </row>
        <row r="559">
          <cell r="D559" t="str">
            <v>CundinamarcaTibirita</v>
          </cell>
          <cell r="E559" t="str">
            <v>Bajo</v>
          </cell>
        </row>
        <row r="560">
          <cell r="D560" t="str">
            <v>CundinamarcaTocaima</v>
          </cell>
          <cell r="E560" t="str">
            <v>Incipiente</v>
          </cell>
        </row>
        <row r="561">
          <cell r="D561" t="str">
            <v>CundinamarcaTocancipa</v>
          </cell>
          <cell r="E561" t="str">
            <v>Moderado</v>
          </cell>
        </row>
        <row r="562">
          <cell r="D562" t="str">
            <v>CundinamarcaTopaipí</v>
          </cell>
          <cell r="E562" t="str">
            <v>Limitado</v>
          </cell>
        </row>
        <row r="563">
          <cell r="D563" t="str">
            <v>CundinamarcaUbalá</v>
          </cell>
          <cell r="E563" t="str">
            <v>Bajo</v>
          </cell>
        </row>
        <row r="564">
          <cell r="D564" t="str">
            <v>CundinamarcaUbaque</v>
          </cell>
          <cell r="E564" t="str">
            <v>Bajo</v>
          </cell>
        </row>
        <row r="565">
          <cell r="D565" t="str">
            <v>CundinamarcaUbate</v>
          </cell>
          <cell r="E565" t="str">
            <v>Moderado</v>
          </cell>
        </row>
        <row r="566">
          <cell r="D566" t="str">
            <v>CundinamarcaUne</v>
          </cell>
          <cell r="E566" t="str">
            <v>Bajo</v>
          </cell>
        </row>
        <row r="567">
          <cell r="D567" t="str">
            <v>CundinamarcaÚtica</v>
          </cell>
          <cell r="E567" t="str">
            <v>Bajo</v>
          </cell>
        </row>
        <row r="568">
          <cell r="D568" t="str">
            <v>CundinamarcaVergara</v>
          </cell>
          <cell r="E568" t="str">
            <v>Bajo</v>
          </cell>
        </row>
        <row r="569">
          <cell r="D569" t="str">
            <v>CundinamarcaVianí</v>
          </cell>
          <cell r="E569" t="str">
            <v>Bajo</v>
          </cell>
        </row>
        <row r="570">
          <cell r="D570" t="str">
            <v>CundinamarcaVillagómez</v>
          </cell>
          <cell r="E570" t="str">
            <v>Bajo</v>
          </cell>
        </row>
        <row r="571">
          <cell r="D571" t="str">
            <v>CundinamarcaVillapinzón</v>
          </cell>
          <cell r="E571" t="str">
            <v>Incipiente</v>
          </cell>
        </row>
        <row r="572">
          <cell r="D572" t="str">
            <v>CundinamarcaVilleta</v>
          </cell>
          <cell r="E572" t="str">
            <v>Incipiente</v>
          </cell>
        </row>
        <row r="573">
          <cell r="D573" t="str">
            <v>CundinamarcaViotá</v>
          </cell>
          <cell r="E573" t="str">
            <v>Bajo</v>
          </cell>
        </row>
        <row r="574">
          <cell r="D574" t="str">
            <v>CundinamarcaYacopí</v>
          </cell>
          <cell r="E574" t="str">
            <v>Bajo</v>
          </cell>
        </row>
        <row r="575">
          <cell r="D575" t="str">
            <v>CundinamarcaZipacón</v>
          </cell>
          <cell r="E575" t="str">
            <v>Bajo</v>
          </cell>
        </row>
        <row r="576">
          <cell r="D576" t="str">
            <v>CundinamarcaZipaquira</v>
          </cell>
          <cell r="E576" t="str">
            <v>Moderado</v>
          </cell>
        </row>
        <row r="577">
          <cell r="D577" t="str">
            <v>ChocóQuibdó</v>
          </cell>
          <cell r="E577" t="str">
            <v>Incipiente</v>
          </cell>
        </row>
        <row r="578">
          <cell r="D578" t="str">
            <v>ChocóAcandí</v>
          </cell>
          <cell r="E578" t="str">
            <v>Limitado</v>
          </cell>
        </row>
        <row r="579">
          <cell r="D579" t="str">
            <v>ChocóAlto Baudó</v>
          </cell>
          <cell r="E579" t="str">
            <v>Limitado</v>
          </cell>
        </row>
        <row r="580">
          <cell r="D580" t="str">
            <v>ChocóAtrato</v>
          </cell>
          <cell r="E580" t="str">
            <v>Limitado</v>
          </cell>
        </row>
        <row r="581">
          <cell r="D581" t="str">
            <v>ChocóBagadó</v>
          </cell>
          <cell r="E581" t="str">
            <v>Limitado</v>
          </cell>
        </row>
        <row r="582">
          <cell r="D582" t="str">
            <v>ChocóBahía Solano</v>
          </cell>
          <cell r="E582" t="str">
            <v>Limitado</v>
          </cell>
        </row>
        <row r="583">
          <cell r="D583" t="str">
            <v>ChocóBajo Baudó</v>
          </cell>
          <cell r="E583" t="str">
            <v>Limitado</v>
          </cell>
        </row>
        <row r="584">
          <cell r="D584" t="str">
            <v>ChocóBojayá</v>
          </cell>
          <cell r="E584" t="str">
            <v>Limitado</v>
          </cell>
        </row>
        <row r="585">
          <cell r="D585" t="str">
            <v>ChocóEl Cantón del San Pablo</v>
          </cell>
          <cell r="E585" t="str">
            <v>Limitado</v>
          </cell>
        </row>
        <row r="586">
          <cell r="D586" t="str">
            <v>ChocóCarmen del Darién</v>
          </cell>
          <cell r="E586" t="str">
            <v>Limitado</v>
          </cell>
        </row>
        <row r="587">
          <cell r="D587" t="str">
            <v>ChocóCértegui</v>
          </cell>
          <cell r="E587" t="str">
            <v>Limitado</v>
          </cell>
        </row>
        <row r="588">
          <cell r="D588" t="str">
            <v>ChocóCondoto</v>
          </cell>
          <cell r="E588" t="str">
            <v>Limitado</v>
          </cell>
        </row>
        <row r="589">
          <cell r="D589" t="str">
            <v>ChocóEl Carmen de Atrato</v>
          </cell>
          <cell r="E589" t="str">
            <v>Limitado</v>
          </cell>
        </row>
        <row r="590">
          <cell r="D590" t="str">
            <v>ChocóEl Litoral del San Juan</v>
          </cell>
          <cell r="E590" t="str">
            <v>Limitado</v>
          </cell>
        </row>
        <row r="591">
          <cell r="D591" t="str">
            <v>ChocóIstmina</v>
          </cell>
          <cell r="E591" t="str">
            <v>Incipiente</v>
          </cell>
        </row>
        <row r="592">
          <cell r="D592" t="str">
            <v>ChocóJuradó</v>
          </cell>
          <cell r="E592" t="str">
            <v>Limitado</v>
          </cell>
        </row>
        <row r="593">
          <cell r="D593" t="str">
            <v>ChocóLloró</v>
          </cell>
          <cell r="E593" t="str">
            <v>Limitado</v>
          </cell>
        </row>
        <row r="594">
          <cell r="D594" t="str">
            <v>ChocóMedio Atrato</v>
          </cell>
          <cell r="E594" t="str">
            <v>Limitado</v>
          </cell>
        </row>
        <row r="595">
          <cell r="D595" t="str">
            <v>ChocóMedio Baudó</v>
          </cell>
          <cell r="E595" t="str">
            <v>Limitado</v>
          </cell>
        </row>
        <row r="596">
          <cell r="D596" t="str">
            <v>ChocóMedio San Juan</v>
          </cell>
          <cell r="E596" t="str">
            <v>Limitado</v>
          </cell>
        </row>
        <row r="597">
          <cell r="D597" t="str">
            <v>ChocóNóvita</v>
          </cell>
          <cell r="E597" t="str">
            <v>Limitado</v>
          </cell>
        </row>
        <row r="598">
          <cell r="D598" t="str">
            <v>ChocóNuquí</v>
          </cell>
          <cell r="E598" t="str">
            <v>Limitado</v>
          </cell>
        </row>
        <row r="599">
          <cell r="D599" t="str">
            <v>ChocóRío Iró</v>
          </cell>
          <cell r="E599" t="str">
            <v>Limitado</v>
          </cell>
        </row>
        <row r="600">
          <cell r="D600" t="str">
            <v>ChocóRío Quito</v>
          </cell>
          <cell r="E600" t="str">
            <v>Limitado</v>
          </cell>
        </row>
        <row r="601">
          <cell r="D601" t="str">
            <v>ChocóRiosucio</v>
          </cell>
          <cell r="E601" t="str">
            <v>Limitado</v>
          </cell>
        </row>
        <row r="602">
          <cell r="D602" t="str">
            <v>ChocóSan José del Palmar</v>
          </cell>
          <cell r="E602" t="str">
            <v>Limitado</v>
          </cell>
        </row>
        <row r="603">
          <cell r="D603" t="str">
            <v>ChocóSipí</v>
          </cell>
          <cell r="E603" t="str">
            <v>Limitado</v>
          </cell>
        </row>
        <row r="604">
          <cell r="D604" t="str">
            <v>ChocóTadó</v>
          </cell>
          <cell r="E604" t="str">
            <v>Bajo</v>
          </cell>
        </row>
        <row r="605">
          <cell r="D605" t="str">
            <v>ChocóUnguía</v>
          </cell>
          <cell r="E605" t="str">
            <v>Limitado</v>
          </cell>
        </row>
        <row r="606">
          <cell r="D606" t="str">
            <v>ChocóUnión Panamericana</v>
          </cell>
          <cell r="E606" t="str">
            <v>Limitado</v>
          </cell>
        </row>
        <row r="607">
          <cell r="D607" t="str">
            <v>HuilaNeiva</v>
          </cell>
          <cell r="E607" t="str">
            <v>Moderado</v>
          </cell>
        </row>
        <row r="608">
          <cell r="D608" t="str">
            <v>HuilaAcevedo</v>
          </cell>
          <cell r="E608" t="str">
            <v>Bajo</v>
          </cell>
        </row>
        <row r="609">
          <cell r="D609" t="str">
            <v>HuilaAgrado</v>
          </cell>
          <cell r="E609" t="str">
            <v>Bajo</v>
          </cell>
        </row>
        <row r="610">
          <cell r="D610" t="str">
            <v>HuilaAipe</v>
          </cell>
          <cell r="E610" t="str">
            <v>Bajo</v>
          </cell>
        </row>
        <row r="611">
          <cell r="D611" t="str">
            <v>HuilaAlgeciras</v>
          </cell>
          <cell r="E611" t="str">
            <v>Bajo</v>
          </cell>
        </row>
        <row r="612">
          <cell r="D612" t="str">
            <v>HuilaAltamira</v>
          </cell>
          <cell r="E612" t="str">
            <v>Incipiente</v>
          </cell>
        </row>
        <row r="613">
          <cell r="D613" t="str">
            <v>HuilaBaraya</v>
          </cell>
          <cell r="E613" t="str">
            <v>Bajo</v>
          </cell>
        </row>
        <row r="614">
          <cell r="D614" t="str">
            <v>HuilaCampoalegre</v>
          </cell>
          <cell r="E614" t="str">
            <v>Incipiente</v>
          </cell>
        </row>
        <row r="615">
          <cell r="D615" t="str">
            <v>HuilaColombia</v>
          </cell>
          <cell r="E615" t="str">
            <v>Bajo</v>
          </cell>
        </row>
        <row r="616">
          <cell r="D616" t="str">
            <v>HuilaElías</v>
          </cell>
          <cell r="E616" t="str">
            <v>Limitado</v>
          </cell>
        </row>
        <row r="617">
          <cell r="D617" t="str">
            <v>HuilaGarzon</v>
          </cell>
          <cell r="E617" t="str">
            <v>Incipiente</v>
          </cell>
        </row>
        <row r="618">
          <cell r="D618" t="str">
            <v>HuilaGigante</v>
          </cell>
          <cell r="E618" t="str">
            <v>Incipiente</v>
          </cell>
        </row>
        <row r="619">
          <cell r="D619" t="str">
            <v>HuilaGuadalupe</v>
          </cell>
          <cell r="E619" t="str">
            <v>Bajo</v>
          </cell>
        </row>
        <row r="620">
          <cell r="D620" t="str">
            <v>HuilaHobo</v>
          </cell>
          <cell r="E620" t="str">
            <v>Bajo</v>
          </cell>
        </row>
        <row r="621">
          <cell r="D621" t="str">
            <v>HuilaÍquira</v>
          </cell>
          <cell r="E621" t="str">
            <v>Bajo</v>
          </cell>
        </row>
        <row r="622">
          <cell r="D622" t="str">
            <v>HuilaIsnos</v>
          </cell>
          <cell r="E622" t="str">
            <v>Bajo</v>
          </cell>
        </row>
        <row r="623">
          <cell r="D623" t="str">
            <v>HuilaLa Argentina</v>
          </cell>
          <cell r="E623" t="str">
            <v>Bajo</v>
          </cell>
        </row>
        <row r="624">
          <cell r="D624" t="str">
            <v>HuilaLa Plata</v>
          </cell>
          <cell r="E624" t="str">
            <v>Incipiente</v>
          </cell>
        </row>
        <row r="625">
          <cell r="D625" t="str">
            <v>HuilaNátaga</v>
          </cell>
          <cell r="E625" t="str">
            <v>Bajo</v>
          </cell>
        </row>
        <row r="626">
          <cell r="D626" t="str">
            <v>HuilaOporapa</v>
          </cell>
          <cell r="E626" t="str">
            <v>Bajo</v>
          </cell>
        </row>
        <row r="627">
          <cell r="D627" t="str">
            <v>HuilaPaicol</v>
          </cell>
          <cell r="E627" t="str">
            <v>Bajo</v>
          </cell>
        </row>
        <row r="628">
          <cell r="D628" t="str">
            <v>HuilaPalermo</v>
          </cell>
          <cell r="E628" t="str">
            <v>Incipiente</v>
          </cell>
        </row>
        <row r="629">
          <cell r="D629" t="str">
            <v>HuilaPalestina</v>
          </cell>
          <cell r="E629" t="str">
            <v>Bajo</v>
          </cell>
        </row>
        <row r="630">
          <cell r="D630" t="str">
            <v>HuilaPital</v>
          </cell>
          <cell r="E630" t="str">
            <v>Bajo</v>
          </cell>
        </row>
        <row r="631">
          <cell r="D631" t="str">
            <v>HuilaPitalito</v>
          </cell>
          <cell r="E631" t="str">
            <v>Incipiente</v>
          </cell>
        </row>
        <row r="632">
          <cell r="D632" t="str">
            <v>HuilaRivera</v>
          </cell>
          <cell r="E632" t="str">
            <v>Incipiente</v>
          </cell>
        </row>
        <row r="633">
          <cell r="D633" t="str">
            <v>HuilaSaladoblanco</v>
          </cell>
          <cell r="E633" t="str">
            <v>Limitado</v>
          </cell>
        </row>
        <row r="634">
          <cell r="D634" t="str">
            <v>HuilaSan Agustín</v>
          </cell>
          <cell r="E634" t="str">
            <v>Bajo</v>
          </cell>
        </row>
        <row r="635">
          <cell r="D635" t="str">
            <v>HuilaSanta María</v>
          </cell>
          <cell r="E635" t="str">
            <v>Bajo</v>
          </cell>
        </row>
        <row r="636">
          <cell r="D636" t="str">
            <v>HuilaSuaza</v>
          </cell>
          <cell r="E636" t="str">
            <v>Bajo</v>
          </cell>
        </row>
        <row r="637">
          <cell r="D637" t="str">
            <v>HuilaTarqui</v>
          </cell>
          <cell r="E637" t="str">
            <v>Bajo</v>
          </cell>
        </row>
        <row r="638">
          <cell r="D638" t="str">
            <v>HuilaTesalia</v>
          </cell>
          <cell r="E638" t="str">
            <v>Incipiente</v>
          </cell>
        </row>
        <row r="639">
          <cell r="D639" t="str">
            <v>HuilaTello</v>
          </cell>
          <cell r="E639" t="str">
            <v>Bajo</v>
          </cell>
        </row>
        <row r="640">
          <cell r="D640" t="str">
            <v>HuilaTeruel</v>
          </cell>
          <cell r="E640" t="str">
            <v>Bajo</v>
          </cell>
        </row>
        <row r="641">
          <cell r="D641" t="str">
            <v>HuilaTimaná</v>
          </cell>
          <cell r="E641" t="str">
            <v>Bajo</v>
          </cell>
        </row>
        <row r="642">
          <cell r="D642" t="str">
            <v>HuilaVillavieja</v>
          </cell>
          <cell r="E642" t="str">
            <v>Bajo</v>
          </cell>
        </row>
        <row r="643">
          <cell r="D643" t="str">
            <v>HuilaYaguará</v>
          </cell>
          <cell r="E643" t="str">
            <v>Incipiente</v>
          </cell>
        </row>
        <row r="644">
          <cell r="D644" t="str">
            <v>La GuajiraRiohacha</v>
          </cell>
          <cell r="E644" t="str">
            <v>Moderado</v>
          </cell>
        </row>
        <row r="645">
          <cell r="D645" t="str">
            <v>La GuajiraAlbania</v>
          </cell>
          <cell r="E645" t="str">
            <v>Incipiente</v>
          </cell>
        </row>
        <row r="646">
          <cell r="D646" t="str">
            <v>La GuajiraBarrancas</v>
          </cell>
          <cell r="E646" t="str">
            <v>Bajo</v>
          </cell>
        </row>
        <row r="647">
          <cell r="D647" t="str">
            <v>La GuajiraDibulla</v>
          </cell>
          <cell r="E647" t="str">
            <v>Limitado</v>
          </cell>
        </row>
        <row r="648">
          <cell r="D648" t="str">
            <v>La GuajiraDistracción</v>
          </cell>
          <cell r="E648" t="str">
            <v>Limitado</v>
          </cell>
        </row>
        <row r="649">
          <cell r="D649" t="str">
            <v>La GuajiraEl Molino</v>
          </cell>
          <cell r="E649" t="str">
            <v>Bajo</v>
          </cell>
        </row>
        <row r="650">
          <cell r="D650" t="str">
            <v>La GuajiraFonseca</v>
          </cell>
          <cell r="E650" t="str">
            <v>Incipiente</v>
          </cell>
        </row>
        <row r="651">
          <cell r="D651" t="str">
            <v>La GuajiraHatonuevo</v>
          </cell>
          <cell r="E651" t="str">
            <v>Bajo</v>
          </cell>
        </row>
        <row r="652">
          <cell r="D652" t="str">
            <v>La GuajiraLa Jagua del Pilar</v>
          </cell>
          <cell r="E652" t="str">
            <v>Limitado</v>
          </cell>
        </row>
        <row r="653">
          <cell r="D653" t="str">
            <v>La GuajiraMaicao</v>
          </cell>
          <cell r="E653" t="str">
            <v>Incipiente</v>
          </cell>
        </row>
        <row r="654">
          <cell r="D654" t="str">
            <v>La GuajiraManaure</v>
          </cell>
          <cell r="E654" t="str">
            <v>Limitado</v>
          </cell>
        </row>
        <row r="655">
          <cell r="D655" t="str">
            <v>La GuajiraSan Juan del Cesar</v>
          </cell>
          <cell r="E655" t="str">
            <v>Incipiente</v>
          </cell>
        </row>
        <row r="656">
          <cell r="D656" t="str">
            <v>La GuajiraUribia</v>
          </cell>
          <cell r="E656" t="str">
            <v>Limitado</v>
          </cell>
        </row>
        <row r="657">
          <cell r="D657" t="str">
            <v>La GuajiraUrumita</v>
          </cell>
          <cell r="E657" t="str">
            <v>Bajo</v>
          </cell>
        </row>
        <row r="658">
          <cell r="D658" t="str">
            <v>La GuajiraVillanueva</v>
          </cell>
          <cell r="E658" t="str">
            <v>Incipiente</v>
          </cell>
        </row>
        <row r="659">
          <cell r="D659" t="str">
            <v>MagdalenaSanta Marta</v>
          </cell>
          <cell r="E659" t="str">
            <v>Moderado</v>
          </cell>
        </row>
        <row r="660">
          <cell r="D660" t="str">
            <v>MagdalenaAlgarrobo</v>
          </cell>
          <cell r="E660" t="str">
            <v>Bajo</v>
          </cell>
        </row>
        <row r="661">
          <cell r="D661" t="str">
            <v>MagdalenaAracataca</v>
          </cell>
          <cell r="E661" t="str">
            <v>Bajo</v>
          </cell>
        </row>
        <row r="662">
          <cell r="D662" t="str">
            <v>MagdalenaAriguaní</v>
          </cell>
          <cell r="E662" t="str">
            <v>Limitado</v>
          </cell>
        </row>
        <row r="663">
          <cell r="D663" t="str">
            <v>MagdalenaCerro de San Antonio</v>
          </cell>
          <cell r="E663" t="str">
            <v>Limitado</v>
          </cell>
        </row>
        <row r="664">
          <cell r="D664" t="str">
            <v>MagdalenaChibolo</v>
          </cell>
          <cell r="E664" t="str">
            <v>Bajo</v>
          </cell>
        </row>
        <row r="665">
          <cell r="D665" t="str">
            <v>MagdalenaCienaga</v>
          </cell>
          <cell r="E665" t="str">
            <v>Incipiente</v>
          </cell>
        </row>
        <row r="666">
          <cell r="D666" t="str">
            <v>MagdalenaConcordia</v>
          </cell>
          <cell r="E666" t="str">
            <v>Limitado</v>
          </cell>
        </row>
        <row r="667">
          <cell r="D667" t="str">
            <v>MagdalenaEl Banco</v>
          </cell>
          <cell r="E667" t="str">
            <v>Bajo</v>
          </cell>
        </row>
        <row r="668">
          <cell r="D668" t="str">
            <v>MagdalenaEl Piñón</v>
          </cell>
          <cell r="E668" t="str">
            <v>Bajo</v>
          </cell>
        </row>
        <row r="669">
          <cell r="D669" t="str">
            <v>MagdalenaEl Retén</v>
          </cell>
          <cell r="E669" t="str">
            <v>Bajo</v>
          </cell>
        </row>
        <row r="670">
          <cell r="D670" t="str">
            <v>MagdalenaFundación</v>
          </cell>
          <cell r="E670" t="str">
            <v>Incipiente</v>
          </cell>
        </row>
        <row r="671">
          <cell r="D671" t="str">
            <v>MagdalenaGuamal</v>
          </cell>
          <cell r="E671" t="str">
            <v>Bajo</v>
          </cell>
        </row>
        <row r="672">
          <cell r="D672" t="str">
            <v>MagdalenaNueva Granada</v>
          </cell>
          <cell r="E672" t="str">
            <v>Limitado</v>
          </cell>
        </row>
        <row r="673">
          <cell r="D673" t="str">
            <v>MagdalenaPedraza</v>
          </cell>
          <cell r="E673" t="str">
            <v>Limitado</v>
          </cell>
        </row>
        <row r="674">
          <cell r="D674" t="str">
            <v>MagdalenaPijiño del Carmen</v>
          </cell>
          <cell r="E674" t="str">
            <v>Limitado</v>
          </cell>
        </row>
        <row r="675">
          <cell r="D675" t="str">
            <v>MagdalenaPivijay</v>
          </cell>
          <cell r="E675" t="str">
            <v>Bajo</v>
          </cell>
        </row>
        <row r="676">
          <cell r="D676" t="str">
            <v>MagdalenaPlato</v>
          </cell>
          <cell r="E676" t="str">
            <v>Incipiente</v>
          </cell>
        </row>
        <row r="677">
          <cell r="D677" t="str">
            <v>MagdalenaPuebloviejo</v>
          </cell>
          <cell r="E677" t="str">
            <v>Bajo</v>
          </cell>
        </row>
        <row r="678">
          <cell r="D678" t="str">
            <v>MagdalenaRemolino</v>
          </cell>
          <cell r="E678" t="str">
            <v>Limitado</v>
          </cell>
        </row>
        <row r="679">
          <cell r="D679" t="str">
            <v>MagdalenaSabanas de San Ángel</v>
          </cell>
          <cell r="E679" t="str">
            <v>Limitado</v>
          </cell>
        </row>
        <row r="680">
          <cell r="D680" t="str">
            <v>MagdalenaSalamina</v>
          </cell>
          <cell r="E680" t="str">
            <v>Bajo</v>
          </cell>
        </row>
        <row r="681">
          <cell r="D681" t="str">
            <v>MagdalenaSan Sebastián de Buenavista</v>
          </cell>
          <cell r="E681" t="str">
            <v>Limitado</v>
          </cell>
        </row>
        <row r="682">
          <cell r="D682" t="str">
            <v>MagdalenaSan Zenón</v>
          </cell>
          <cell r="E682" t="str">
            <v>Limitado</v>
          </cell>
        </row>
        <row r="683">
          <cell r="D683" t="str">
            <v>MagdalenaSanta Ana</v>
          </cell>
          <cell r="E683" t="str">
            <v>Bajo</v>
          </cell>
        </row>
        <row r="684">
          <cell r="D684" t="str">
            <v>MagdalenaSanta Bárbara de Pinto</v>
          </cell>
          <cell r="E684" t="str">
            <v>Limitado</v>
          </cell>
        </row>
        <row r="685">
          <cell r="D685" t="str">
            <v>MagdalenaSitionuevo</v>
          </cell>
          <cell r="E685" t="str">
            <v>Limitado</v>
          </cell>
        </row>
        <row r="686">
          <cell r="D686" t="str">
            <v>MagdalenaTenerife</v>
          </cell>
          <cell r="E686" t="str">
            <v>Bajo</v>
          </cell>
        </row>
        <row r="687">
          <cell r="D687" t="str">
            <v>MagdalenaZapayán</v>
          </cell>
          <cell r="E687" t="str">
            <v>Limitado</v>
          </cell>
        </row>
        <row r="688">
          <cell r="D688" t="str">
            <v>MagdalenaZona Bananera</v>
          </cell>
          <cell r="E688" t="str">
            <v>Bajo</v>
          </cell>
        </row>
        <row r="689">
          <cell r="D689" t="str">
            <v>MetaVillavicencio</v>
          </cell>
          <cell r="E689" t="str">
            <v>Moderado</v>
          </cell>
        </row>
        <row r="690">
          <cell r="D690" t="str">
            <v>MetaAcacias</v>
          </cell>
          <cell r="E690" t="str">
            <v>Moderado</v>
          </cell>
        </row>
        <row r="691">
          <cell r="D691" t="str">
            <v>MetaBarranca de Upía</v>
          </cell>
          <cell r="E691" t="str">
            <v>Bajo</v>
          </cell>
        </row>
        <row r="692">
          <cell r="D692" t="str">
            <v>MetaCabuyaro</v>
          </cell>
          <cell r="E692" t="str">
            <v>Bajo</v>
          </cell>
        </row>
        <row r="693">
          <cell r="D693" t="str">
            <v>MetaCastilla la Nueva</v>
          </cell>
          <cell r="E693" t="str">
            <v>Incipiente</v>
          </cell>
        </row>
        <row r="694">
          <cell r="D694" t="str">
            <v>MetaCubarral</v>
          </cell>
          <cell r="E694" t="str">
            <v>Incipiente</v>
          </cell>
        </row>
        <row r="695">
          <cell r="D695" t="str">
            <v>MetaCumaral</v>
          </cell>
          <cell r="E695" t="str">
            <v>Incipiente</v>
          </cell>
        </row>
        <row r="696">
          <cell r="D696" t="str">
            <v>MetaEl Calvario</v>
          </cell>
          <cell r="E696" t="str">
            <v>Limitado</v>
          </cell>
        </row>
        <row r="697">
          <cell r="D697" t="str">
            <v>MetaEl Castillo</v>
          </cell>
          <cell r="E697" t="str">
            <v>Bajo</v>
          </cell>
        </row>
        <row r="698">
          <cell r="D698" t="str">
            <v>MetaEl Dorado</v>
          </cell>
          <cell r="E698" t="str">
            <v>Bajo</v>
          </cell>
        </row>
        <row r="699">
          <cell r="D699" t="str">
            <v>MetaFuente de Oro</v>
          </cell>
          <cell r="E699" t="str">
            <v>Bajo</v>
          </cell>
        </row>
        <row r="700">
          <cell r="D700" t="str">
            <v>MetaGranada</v>
          </cell>
          <cell r="E700" t="str">
            <v>Incipiente</v>
          </cell>
        </row>
        <row r="701">
          <cell r="D701" t="str">
            <v>MetaGuamal</v>
          </cell>
          <cell r="E701" t="str">
            <v>Incipiente</v>
          </cell>
        </row>
        <row r="702">
          <cell r="D702" t="str">
            <v>MetaMapiripán</v>
          </cell>
          <cell r="E702" t="str">
            <v>Limitado</v>
          </cell>
        </row>
        <row r="703">
          <cell r="D703" t="str">
            <v>MetaMesetas</v>
          </cell>
          <cell r="E703" t="str">
            <v>Bajo</v>
          </cell>
        </row>
        <row r="704">
          <cell r="D704" t="str">
            <v>MetaLa Macarena</v>
          </cell>
          <cell r="E704" t="str">
            <v>Limitado</v>
          </cell>
        </row>
        <row r="705">
          <cell r="D705" t="str">
            <v>MetaUribe</v>
          </cell>
          <cell r="E705" t="str">
            <v>Limitado</v>
          </cell>
        </row>
        <row r="706">
          <cell r="D706" t="str">
            <v>MetaLejanías</v>
          </cell>
          <cell r="E706" t="str">
            <v>Bajo</v>
          </cell>
        </row>
        <row r="707">
          <cell r="D707" t="str">
            <v>MetaPuerto Concordia</v>
          </cell>
          <cell r="E707" t="str">
            <v>Bajo</v>
          </cell>
        </row>
        <row r="708">
          <cell r="D708" t="str">
            <v>MetaPuerto Gaitán</v>
          </cell>
          <cell r="E708" t="str">
            <v>Incipiente</v>
          </cell>
        </row>
        <row r="709">
          <cell r="D709" t="str">
            <v>MetaPuerto López</v>
          </cell>
          <cell r="E709" t="str">
            <v>Incipiente</v>
          </cell>
        </row>
        <row r="710">
          <cell r="D710" t="str">
            <v>MetaPuerto Lleras</v>
          </cell>
          <cell r="E710" t="str">
            <v>Bajo</v>
          </cell>
        </row>
        <row r="711">
          <cell r="D711" t="str">
            <v>MetaPuerto Rico</v>
          </cell>
          <cell r="E711" t="str">
            <v>Bajo</v>
          </cell>
        </row>
        <row r="712">
          <cell r="D712" t="str">
            <v>MetaRestrepo</v>
          </cell>
          <cell r="E712" t="str">
            <v>Moderado</v>
          </cell>
        </row>
        <row r="713">
          <cell r="D713" t="str">
            <v>MetaSan Carlos de Guaroa</v>
          </cell>
          <cell r="E713" t="str">
            <v>Bajo</v>
          </cell>
        </row>
        <row r="714">
          <cell r="D714" t="str">
            <v>MetaSan Juan de Arama</v>
          </cell>
          <cell r="E714" t="str">
            <v>Bajo</v>
          </cell>
        </row>
        <row r="715">
          <cell r="D715" t="str">
            <v>MetaSan Juanito</v>
          </cell>
          <cell r="E715" t="str">
            <v>Limitado</v>
          </cell>
        </row>
        <row r="716">
          <cell r="D716" t="str">
            <v>MetaSan Martín</v>
          </cell>
          <cell r="E716" t="str">
            <v>Moderado</v>
          </cell>
        </row>
        <row r="717">
          <cell r="D717" t="str">
            <v>MetaVistahermosa</v>
          </cell>
          <cell r="E717" t="str">
            <v>Bajo</v>
          </cell>
        </row>
        <row r="718">
          <cell r="D718" t="str">
            <v>NariñoPasto</v>
          </cell>
          <cell r="E718" t="str">
            <v>Moderado</v>
          </cell>
        </row>
        <row r="719">
          <cell r="D719" t="str">
            <v>NariñoAlbán</v>
          </cell>
          <cell r="E719" t="str">
            <v>Bajo</v>
          </cell>
        </row>
        <row r="720">
          <cell r="D720" t="str">
            <v>NariñoAldana</v>
          </cell>
          <cell r="E720" t="str">
            <v>Bajo</v>
          </cell>
        </row>
        <row r="721">
          <cell r="D721" t="str">
            <v>NariñoAncuya</v>
          </cell>
          <cell r="E721" t="str">
            <v>Bajo</v>
          </cell>
        </row>
        <row r="722">
          <cell r="D722" t="str">
            <v>NariñoArboleda</v>
          </cell>
          <cell r="E722" t="str">
            <v>Bajo</v>
          </cell>
        </row>
        <row r="723">
          <cell r="D723" t="str">
            <v>NariñoBarbacoas</v>
          </cell>
          <cell r="E723" t="str">
            <v>Limitado</v>
          </cell>
        </row>
        <row r="724">
          <cell r="D724" t="str">
            <v>NariñoBelén</v>
          </cell>
          <cell r="E724" t="str">
            <v>Bajo</v>
          </cell>
        </row>
        <row r="725">
          <cell r="D725" t="str">
            <v>NariñoBuesaco</v>
          </cell>
          <cell r="E725" t="str">
            <v>Bajo</v>
          </cell>
        </row>
        <row r="726">
          <cell r="D726" t="str">
            <v>NariñoColón</v>
          </cell>
          <cell r="E726" t="str">
            <v>Limitado</v>
          </cell>
        </row>
        <row r="727">
          <cell r="D727" t="str">
            <v>NariñoConsacá</v>
          </cell>
          <cell r="E727" t="str">
            <v>Bajo</v>
          </cell>
        </row>
        <row r="728">
          <cell r="D728" t="str">
            <v>NariñoContadero</v>
          </cell>
          <cell r="E728" t="str">
            <v>Bajo</v>
          </cell>
        </row>
        <row r="729">
          <cell r="D729" t="str">
            <v>NariñoCórdoba</v>
          </cell>
          <cell r="E729" t="str">
            <v>Bajo</v>
          </cell>
        </row>
        <row r="730">
          <cell r="D730" t="str">
            <v>NariñoCuaspud Carlosama</v>
          </cell>
          <cell r="E730" t="str">
            <v>Bajo</v>
          </cell>
        </row>
        <row r="731">
          <cell r="D731" t="str">
            <v>NariñoCumbal</v>
          </cell>
          <cell r="E731" t="str">
            <v>Bajo</v>
          </cell>
        </row>
        <row r="732">
          <cell r="D732" t="str">
            <v>NariñoCumbitara</v>
          </cell>
          <cell r="E732" t="str">
            <v>Limitado</v>
          </cell>
        </row>
        <row r="733">
          <cell r="D733" t="str">
            <v>NariñoChachagüí</v>
          </cell>
          <cell r="E733" t="str">
            <v>Bajo</v>
          </cell>
        </row>
        <row r="734">
          <cell r="D734" t="str">
            <v>NariñoEl Charco</v>
          </cell>
          <cell r="E734" t="str">
            <v>Limitado</v>
          </cell>
        </row>
        <row r="735">
          <cell r="D735" t="str">
            <v>NariñoEl Peñol</v>
          </cell>
          <cell r="E735" t="str">
            <v>Limitado</v>
          </cell>
        </row>
        <row r="736">
          <cell r="D736" t="str">
            <v>NariñoEl Rosario</v>
          </cell>
          <cell r="E736" t="str">
            <v>Limitado</v>
          </cell>
        </row>
        <row r="737">
          <cell r="D737" t="str">
            <v>NariñoEl Tablón de Gómez</v>
          </cell>
          <cell r="E737" t="str">
            <v>Bajo</v>
          </cell>
        </row>
        <row r="738">
          <cell r="D738" t="str">
            <v>NariñoEl Tambo</v>
          </cell>
          <cell r="E738" t="str">
            <v>Bajo</v>
          </cell>
        </row>
        <row r="739">
          <cell r="D739" t="str">
            <v>NariñoFunes</v>
          </cell>
          <cell r="E739" t="str">
            <v>Bajo</v>
          </cell>
        </row>
        <row r="740">
          <cell r="D740" t="str">
            <v>NariñoGuachucal</v>
          </cell>
          <cell r="E740" t="str">
            <v>Bajo</v>
          </cell>
        </row>
        <row r="741">
          <cell r="D741" t="str">
            <v>NariñoGuaitarilla</v>
          </cell>
          <cell r="E741" t="str">
            <v>Bajo</v>
          </cell>
        </row>
        <row r="742">
          <cell r="D742" t="str">
            <v>NariñoGualmatán</v>
          </cell>
          <cell r="E742" t="str">
            <v>Bajo</v>
          </cell>
        </row>
        <row r="743">
          <cell r="D743" t="str">
            <v>NariñoIles</v>
          </cell>
          <cell r="E743" t="str">
            <v>Bajo</v>
          </cell>
        </row>
        <row r="744">
          <cell r="D744" t="str">
            <v>NariñoImués</v>
          </cell>
          <cell r="E744" t="str">
            <v>Bajo</v>
          </cell>
        </row>
        <row r="745">
          <cell r="D745" t="str">
            <v>NariñoIpiales</v>
          </cell>
          <cell r="E745" t="str">
            <v>Incipiente</v>
          </cell>
        </row>
        <row r="746">
          <cell r="D746" t="str">
            <v>NariñoLa Cruz</v>
          </cell>
          <cell r="E746" t="str">
            <v>Bajo</v>
          </cell>
        </row>
        <row r="747">
          <cell r="D747" t="str">
            <v>NariñoLa Florida</v>
          </cell>
          <cell r="E747" t="str">
            <v>Bajo</v>
          </cell>
        </row>
        <row r="748">
          <cell r="D748" t="str">
            <v>NariñoLa Llanada</v>
          </cell>
          <cell r="E748" t="str">
            <v>Bajo</v>
          </cell>
        </row>
        <row r="749">
          <cell r="D749" t="str">
            <v>NariñoLa Tola</v>
          </cell>
          <cell r="E749" t="str">
            <v>Limitado</v>
          </cell>
        </row>
        <row r="750">
          <cell r="D750" t="str">
            <v>NariñoLa Unión</v>
          </cell>
          <cell r="E750" t="str">
            <v>Incipiente</v>
          </cell>
        </row>
        <row r="751">
          <cell r="D751" t="str">
            <v>NariñoLeiva</v>
          </cell>
          <cell r="E751" t="str">
            <v>Limitado</v>
          </cell>
        </row>
        <row r="752">
          <cell r="D752" t="str">
            <v>NariñoLinares</v>
          </cell>
          <cell r="E752" t="str">
            <v>Bajo</v>
          </cell>
        </row>
        <row r="753">
          <cell r="D753" t="str">
            <v>NariñoLos Andes</v>
          </cell>
          <cell r="E753" t="str">
            <v>Limitado</v>
          </cell>
        </row>
        <row r="754">
          <cell r="D754" t="str">
            <v>NariñoMagüí</v>
          </cell>
          <cell r="E754" t="str">
            <v>Limitado</v>
          </cell>
        </row>
        <row r="755">
          <cell r="D755" t="str">
            <v>NariñoMallama</v>
          </cell>
          <cell r="E755" t="str">
            <v>Limitado</v>
          </cell>
        </row>
        <row r="756">
          <cell r="D756" t="str">
            <v>NariñoMosquera</v>
          </cell>
          <cell r="E756" t="str">
            <v>Limitado</v>
          </cell>
        </row>
        <row r="757">
          <cell r="D757" t="str">
            <v>NariñoNariño</v>
          </cell>
          <cell r="E757" t="str">
            <v>Incipiente</v>
          </cell>
        </row>
        <row r="758">
          <cell r="D758" t="str">
            <v>NariñoOlaya Herrera</v>
          </cell>
          <cell r="E758" t="str">
            <v>Limitado</v>
          </cell>
        </row>
        <row r="759">
          <cell r="D759" t="str">
            <v>NariñoOspina</v>
          </cell>
          <cell r="E759" t="str">
            <v>Bajo</v>
          </cell>
        </row>
        <row r="760">
          <cell r="D760" t="str">
            <v>NariñoFrancisco Pizarro</v>
          </cell>
          <cell r="E760" t="str">
            <v>Limitado</v>
          </cell>
        </row>
        <row r="761">
          <cell r="D761" t="str">
            <v>NariñoPolicarpa</v>
          </cell>
          <cell r="E761" t="str">
            <v>Limitado</v>
          </cell>
        </row>
        <row r="762">
          <cell r="D762" t="str">
            <v>NariñoPotosí</v>
          </cell>
          <cell r="E762" t="str">
            <v>Bajo</v>
          </cell>
        </row>
        <row r="763">
          <cell r="D763" t="str">
            <v>NariñoProvidencia</v>
          </cell>
          <cell r="E763" t="str">
            <v>Limitado</v>
          </cell>
        </row>
        <row r="764">
          <cell r="D764" t="str">
            <v>NariñoPuerres</v>
          </cell>
          <cell r="E764" t="str">
            <v>Bajo</v>
          </cell>
        </row>
        <row r="765">
          <cell r="D765" t="str">
            <v>NariñoPupiales</v>
          </cell>
          <cell r="E765" t="str">
            <v>Bajo</v>
          </cell>
        </row>
        <row r="766">
          <cell r="D766" t="str">
            <v>NariñoRicaurte</v>
          </cell>
          <cell r="E766" t="str">
            <v>Bajo</v>
          </cell>
        </row>
        <row r="767">
          <cell r="D767" t="str">
            <v>NariñoRoberto Payán</v>
          </cell>
          <cell r="E767" t="str">
            <v>Limitado</v>
          </cell>
        </row>
        <row r="768">
          <cell r="D768" t="str">
            <v>NariñoSamaniego</v>
          </cell>
          <cell r="E768" t="str">
            <v>Bajo</v>
          </cell>
        </row>
        <row r="769">
          <cell r="D769" t="str">
            <v>NariñoSandoná</v>
          </cell>
          <cell r="E769" t="str">
            <v>Incipiente</v>
          </cell>
        </row>
        <row r="770">
          <cell r="D770" t="str">
            <v>NariñoSan Bernardo</v>
          </cell>
          <cell r="E770" t="str">
            <v>Bajo</v>
          </cell>
        </row>
        <row r="771">
          <cell r="D771" t="str">
            <v>NariñoSan Lorenzo</v>
          </cell>
          <cell r="E771" t="str">
            <v>Bajo</v>
          </cell>
        </row>
        <row r="772">
          <cell r="D772" t="str">
            <v>NariñoSan Pablo</v>
          </cell>
          <cell r="E772" t="str">
            <v>Limitado</v>
          </cell>
        </row>
        <row r="773">
          <cell r="D773" t="str">
            <v>NariñoSan Pedro de Cartago</v>
          </cell>
          <cell r="E773" t="str">
            <v>Limitado</v>
          </cell>
        </row>
        <row r="774">
          <cell r="D774" t="str">
            <v>NariñoSanta Bárbara</v>
          </cell>
          <cell r="E774" t="str">
            <v>Limitado</v>
          </cell>
        </row>
        <row r="775">
          <cell r="D775" t="str">
            <v>NariñoSantacruz</v>
          </cell>
          <cell r="E775" t="str">
            <v>Limitado</v>
          </cell>
        </row>
        <row r="776">
          <cell r="D776" t="str">
            <v>NariñoSapuyes</v>
          </cell>
          <cell r="E776" t="str">
            <v>Bajo</v>
          </cell>
        </row>
        <row r="777">
          <cell r="D777" t="str">
            <v>NariñoTaminango</v>
          </cell>
          <cell r="E777" t="str">
            <v>Bajo</v>
          </cell>
        </row>
        <row r="778">
          <cell r="D778" t="str">
            <v>NariñoTangua</v>
          </cell>
          <cell r="E778" t="str">
            <v>Bajo</v>
          </cell>
        </row>
        <row r="779">
          <cell r="D779" t="str">
            <v>NariñoSan Andrés de Tumaco</v>
          </cell>
          <cell r="E779" t="str">
            <v>Incipiente</v>
          </cell>
        </row>
        <row r="780">
          <cell r="D780" t="str">
            <v>NariñoTúquerres</v>
          </cell>
          <cell r="E780" t="str">
            <v>Incipiente</v>
          </cell>
        </row>
        <row r="781">
          <cell r="D781" t="str">
            <v>NariñoYacuanquer</v>
          </cell>
          <cell r="E781" t="str">
            <v>Bajo</v>
          </cell>
        </row>
        <row r="782">
          <cell r="D782" t="str">
            <v>Norte de SantanderSan Jose de Cucuta</v>
          </cell>
          <cell r="E782" t="str">
            <v>Moderado</v>
          </cell>
        </row>
        <row r="783">
          <cell r="D783" t="str">
            <v>Norte de SantanderÁbrego</v>
          </cell>
          <cell r="E783" t="str">
            <v>Bajo</v>
          </cell>
        </row>
        <row r="784">
          <cell r="D784" t="str">
            <v>Norte de SantanderArboledas</v>
          </cell>
          <cell r="E784" t="str">
            <v>Bajo</v>
          </cell>
        </row>
        <row r="785">
          <cell r="D785" t="str">
            <v>Norte de SantanderBochalema</v>
          </cell>
          <cell r="E785" t="str">
            <v>Bajo</v>
          </cell>
        </row>
        <row r="786">
          <cell r="D786" t="str">
            <v>Norte de SantanderBucarasica</v>
          </cell>
          <cell r="E786" t="str">
            <v>Limitado</v>
          </cell>
        </row>
        <row r="787">
          <cell r="D787" t="str">
            <v>Norte de SantanderCácota</v>
          </cell>
          <cell r="E787" t="str">
            <v>Limitado</v>
          </cell>
        </row>
        <row r="788">
          <cell r="D788" t="str">
            <v>Norte de SantanderCáchira</v>
          </cell>
          <cell r="E788" t="str">
            <v>Bajo</v>
          </cell>
        </row>
        <row r="789">
          <cell r="D789" t="str">
            <v>Norte de SantanderChinácota</v>
          </cell>
          <cell r="E789" t="str">
            <v>Incipiente</v>
          </cell>
        </row>
        <row r="790">
          <cell r="D790" t="str">
            <v>Norte de SantanderChitagá</v>
          </cell>
          <cell r="E790" t="str">
            <v>Bajo</v>
          </cell>
        </row>
        <row r="791">
          <cell r="D791" t="str">
            <v>Norte de SantanderConvención</v>
          </cell>
          <cell r="E791" t="str">
            <v>Limitado</v>
          </cell>
        </row>
        <row r="792">
          <cell r="D792" t="str">
            <v>Norte de SantanderCucutilla</v>
          </cell>
          <cell r="E792" t="str">
            <v>Bajo</v>
          </cell>
        </row>
        <row r="793">
          <cell r="D793" t="str">
            <v>Norte de SantanderDurania</v>
          </cell>
          <cell r="E793" t="str">
            <v>Bajo</v>
          </cell>
        </row>
        <row r="794">
          <cell r="D794" t="str">
            <v>Norte de SantanderEl Carmen</v>
          </cell>
          <cell r="E794" t="str">
            <v>Limitado</v>
          </cell>
        </row>
        <row r="795">
          <cell r="D795" t="str">
            <v>Norte de SantanderEl Tarra</v>
          </cell>
          <cell r="E795" t="str">
            <v>Limitado</v>
          </cell>
        </row>
        <row r="796">
          <cell r="D796" t="str">
            <v>Norte de SantanderEl Zulia</v>
          </cell>
          <cell r="E796" t="str">
            <v>Bajo</v>
          </cell>
        </row>
        <row r="797">
          <cell r="D797" t="str">
            <v>Norte de SantanderGramalote</v>
          </cell>
          <cell r="E797" t="str">
            <v>Bajo</v>
          </cell>
        </row>
        <row r="798">
          <cell r="D798" t="str">
            <v>Norte de SantanderHacarí</v>
          </cell>
          <cell r="E798" t="str">
            <v>Limitado</v>
          </cell>
        </row>
        <row r="799">
          <cell r="D799" t="str">
            <v>Norte de SantanderHerrán</v>
          </cell>
          <cell r="E799" t="str">
            <v>Limitado</v>
          </cell>
        </row>
        <row r="800">
          <cell r="D800" t="str">
            <v>Norte de SantanderLabateca</v>
          </cell>
          <cell r="E800" t="str">
            <v>Bajo</v>
          </cell>
        </row>
        <row r="801">
          <cell r="D801" t="str">
            <v>Norte de SantanderLa Esperanza</v>
          </cell>
          <cell r="E801" t="str">
            <v>Bajo</v>
          </cell>
        </row>
        <row r="802">
          <cell r="D802" t="str">
            <v>Norte de SantanderLa Playa</v>
          </cell>
          <cell r="E802" t="str">
            <v>Limitado</v>
          </cell>
        </row>
        <row r="803">
          <cell r="D803" t="str">
            <v>Norte de SantanderLos Patios</v>
          </cell>
          <cell r="E803" t="str">
            <v>Moderado</v>
          </cell>
        </row>
        <row r="804">
          <cell r="D804" t="str">
            <v>Norte de SantanderLourdes</v>
          </cell>
          <cell r="E804" t="str">
            <v>Bajo</v>
          </cell>
        </row>
        <row r="805">
          <cell r="D805" t="str">
            <v>Norte de SantanderMutiscua</v>
          </cell>
          <cell r="E805" t="str">
            <v>Bajo</v>
          </cell>
        </row>
        <row r="806">
          <cell r="D806" t="str">
            <v>Norte de SantanderOcaña</v>
          </cell>
          <cell r="E806" t="str">
            <v>Incipiente</v>
          </cell>
        </row>
        <row r="807">
          <cell r="D807" t="str">
            <v>Norte de SantanderPamplona</v>
          </cell>
          <cell r="E807" t="str">
            <v>Incipiente</v>
          </cell>
        </row>
        <row r="808">
          <cell r="D808" t="str">
            <v>Norte de SantanderPamplonita</v>
          </cell>
          <cell r="E808" t="str">
            <v>Bajo</v>
          </cell>
        </row>
        <row r="809">
          <cell r="D809" t="str">
            <v>Norte de SantanderPuerto Santander</v>
          </cell>
          <cell r="E809" t="str">
            <v>Incipiente</v>
          </cell>
        </row>
        <row r="810">
          <cell r="D810" t="str">
            <v>Norte de SantanderRagonvalia</v>
          </cell>
          <cell r="E810" t="str">
            <v>Bajo</v>
          </cell>
        </row>
        <row r="811">
          <cell r="D811" t="str">
            <v>Norte de SantanderSalazar</v>
          </cell>
          <cell r="E811" t="str">
            <v>Bajo</v>
          </cell>
        </row>
        <row r="812">
          <cell r="D812" t="str">
            <v>Norte de SantanderSan Calixto</v>
          </cell>
          <cell r="E812" t="str">
            <v>Limitado</v>
          </cell>
        </row>
        <row r="813">
          <cell r="D813" t="str">
            <v>Norte de SantanderSan Cayetano</v>
          </cell>
          <cell r="E813" t="str">
            <v>Bajo</v>
          </cell>
        </row>
        <row r="814">
          <cell r="D814" t="str">
            <v>Norte de SantanderSantiago</v>
          </cell>
          <cell r="E814" t="str">
            <v>Bajo</v>
          </cell>
        </row>
        <row r="815">
          <cell r="D815" t="str">
            <v>Norte de SantanderSardinata</v>
          </cell>
          <cell r="E815" t="str">
            <v>Bajo</v>
          </cell>
        </row>
        <row r="816">
          <cell r="D816" t="str">
            <v>Norte de SantanderSilos</v>
          </cell>
          <cell r="E816" t="str">
            <v>Bajo</v>
          </cell>
        </row>
        <row r="817">
          <cell r="D817" t="str">
            <v>Norte de SantanderTeorama</v>
          </cell>
          <cell r="E817" t="str">
            <v>Limitado</v>
          </cell>
        </row>
        <row r="818">
          <cell r="D818" t="str">
            <v>Norte de SantanderTibú</v>
          </cell>
          <cell r="E818" t="str">
            <v>Incipiente</v>
          </cell>
        </row>
        <row r="819">
          <cell r="D819" t="str">
            <v>Norte de SantanderToledo</v>
          </cell>
          <cell r="E819" t="str">
            <v>Bajo</v>
          </cell>
        </row>
        <row r="820">
          <cell r="D820" t="str">
            <v>Norte de SantanderVilla Caro</v>
          </cell>
          <cell r="E820" t="str">
            <v>Limitado</v>
          </cell>
        </row>
        <row r="821">
          <cell r="D821" t="str">
            <v>Norte de SantanderVilla del Rosario</v>
          </cell>
          <cell r="E821" t="str">
            <v>Moderado</v>
          </cell>
        </row>
        <row r="822">
          <cell r="D822" t="str">
            <v>QuindioArmenia</v>
          </cell>
          <cell r="E822" t="str">
            <v>Moderado</v>
          </cell>
        </row>
        <row r="823">
          <cell r="D823" t="str">
            <v>QuindioBuenavista</v>
          </cell>
          <cell r="E823" t="str">
            <v>Bajo</v>
          </cell>
        </row>
        <row r="824">
          <cell r="D824" t="str">
            <v>QuindioCalarca</v>
          </cell>
          <cell r="E824" t="str">
            <v>Moderado</v>
          </cell>
        </row>
        <row r="825">
          <cell r="D825" t="str">
            <v>QuindioCircasia</v>
          </cell>
          <cell r="E825" t="str">
            <v>Moderado</v>
          </cell>
        </row>
        <row r="826">
          <cell r="D826" t="str">
            <v>QuindioCórdoba</v>
          </cell>
          <cell r="E826" t="str">
            <v>Bajo</v>
          </cell>
        </row>
        <row r="827">
          <cell r="D827" t="str">
            <v>QuindioFilandia</v>
          </cell>
          <cell r="E827" t="str">
            <v>Incipiente</v>
          </cell>
        </row>
        <row r="828">
          <cell r="D828" t="str">
            <v>QuindioGénova</v>
          </cell>
          <cell r="E828" t="str">
            <v>Bajo</v>
          </cell>
        </row>
        <row r="829">
          <cell r="D829" t="str">
            <v>QuindioLa Tebaida</v>
          </cell>
          <cell r="E829" t="str">
            <v>Moderado</v>
          </cell>
        </row>
        <row r="830">
          <cell r="D830" t="str">
            <v>QuindioMontenegro</v>
          </cell>
          <cell r="E830" t="str">
            <v>Moderado</v>
          </cell>
        </row>
        <row r="831">
          <cell r="D831" t="str">
            <v>QuindioPijao</v>
          </cell>
          <cell r="E831" t="str">
            <v>Incipiente</v>
          </cell>
        </row>
        <row r="832">
          <cell r="D832" t="str">
            <v>QuindioQuimbaya</v>
          </cell>
          <cell r="E832" t="str">
            <v>Moderado</v>
          </cell>
        </row>
        <row r="833">
          <cell r="D833" t="str">
            <v>QuindioSalento</v>
          </cell>
          <cell r="E833" t="str">
            <v>Incipiente</v>
          </cell>
        </row>
        <row r="834">
          <cell r="D834" t="str">
            <v>RisaraldaPereira</v>
          </cell>
          <cell r="E834" t="str">
            <v>Moderado</v>
          </cell>
        </row>
        <row r="835">
          <cell r="D835" t="str">
            <v>RisaraldaApía</v>
          </cell>
          <cell r="E835" t="str">
            <v>Incipiente</v>
          </cell>
        </row>
        <row r="836">
          <cell r="D836" t="str">
            <v>RisaraldaBalboa</v>
          </cell>
          <cell r="E836" t="str">
            <v>Bajo</v>
          </cell>
        </row>
        <row r="837">
          <cell r="D837" t="str">
            <v>RisaraldaBelén de Umbría</v>
          </cell>
          <cell r="E837" t="str">
            <v>Incipiente</v>
          </cell>
        </row>
        <row r="838">
          <cell r="D838" t="str">
            <v>RisaraldaDosquebradas</v>
          </cell>
          <cell r="E838" t="str">
            <v>Moderado</v>
          </cell>
        </row>
        <row r="839">
          <cell r="D839" t="str">
            <v>RisaraldaGuática</v>
          </cell>
          <cell r="E839" t="str">
            <v>Bajo</v>
          </cell>
        </row>
        <row r="840">
          <cell r="D840" t="str">
            <v>RisaraldaLa Celia</v>
          </cell>
          <cell r="E840" t="str">
            <v>Incipiente</v>
          </cell>
        </row>
        <row r="841">
          <cell r="D841" t="str">
            <v>RisaraldaLa Virginia</v>
          </cell>
          <cell r="E841" t="str">
            <v>Moderado</v>
          </cell>
        </row>
        <row r="842">
          <cell r="D842" t="str">
            <v>RisaraldaMarsella</v>
          </cell>
          <cell r="E842" t="str">
            <v>Incipiente</v>
          </cell>
        </row>
        <row r="843">
          <cell r="D843" t="str">
            <v>RisaraldaMistrató</v>
          </cell>
          <cell r="E843" t="str">
            <v>Bajo</v>
          </cell>
        </row>
        <row r="844">
          <cell r="D844" t="str">
            <v>RisaraldaPueblo Rico</v>
          </cell>
          <cell r="E844" t="str">
            <v>Bajo</v>
          </cell>
        </row>
        <row r="845">
          <cell r="D845" t="str">
            <v>RisaraldaQuinchía</v>
          </cell>
          <cell r="E845" t="str">
            <v>Bajo</v>
          </cell>
        </row>
        <row r="846">
          <cell r="D846" t="str">
            <v>RisaraldaSanta Rosa de Cabal</v>
          </cell>
          <cell r="E846" t="str">
            <v>Moderado</v>
          </cell>
        </row>
        <row r="847">
          <cell r="D847" t="str">
            <v>RisaraldaSantuario</v>
          </cell>
          <cell r="E847" t="str">
            <v>Incipiente</v>
          </cell>
        </row>
        <row r="848">
          <cell r="D848" t="str">
            <v>SantanderBucaramanga</v>
          </cell>
          <cell r="E848" t="str">
            <v>Moderado</v>
          </cell>
        </row>
        <row r="849">
          <cell r="D849" t="str">
            <v>SantanderAguada</v>
          </cell>
          <cell r="E849" t="str">
            <v>Limitado</v>
          </cell>
        </row>
        <row r="850">
          <cell r="D850" t="str">
            <v>SantanderAlbania</v>
          </cell>
          <cell r="E850" t="str">
            <v>Limitado</v>
          </cell>
        </row>
        <row r="851">
          <cell r="D851" t="str">
            <v>SantanderAratoca</v>
          </cell>
          <cell r="E851" t="str">
            <v>Bajo</v>
          </cell>
        </row>
        <row r="852">
          <cell r="D852" t="str">
            <v>SantanderBarbosa</v>
          </cell>
          <cell r="E852" t="str">
            <v>Incipiente</v>
          </cell>
        </row>
        <row r="853">
          <cell r="D853" t="str">
            <v>SantanderBarichara</v>
          </cell>
          <cell r="E853" t="str">
            <v>Incipiente</v>
          </cell>
        </row>
        <row r="854">
          <cell r="D854" t="str">
            <v>SantanderBarrancabermeja</v>
          </cell>
          <cell r="E854" t="str">
            <v>Moderado</v>
          </cell>
        </row>
        <row r="855">
          <cell r="D855" t="str">
            <v>SantanderBetulia</v>
          </cell>
          <cell r="E855" t="str">
            <v>Limitado</v>
          </cell>
        </row>
        <row r="856">
          <cell r="D856" t="str">
            <v>SantanderBolívar</v>
          </cell>
          <cell r="E856" t="str">
            <v>Bajo</v>
          </cell>
        </row>
        <row r="857">
          <cell r="D857" t="str">
            <v>SantanderCabrera</v>
          </cell>
          <cell r="E857" t="str">
            <v>Limitado</v>
          </cell>
        </row>
        <row r="858">
          <cell r="D858" t="str">
            <v>SantanderCalifornia</v>
          </cell>
          <cell r="E858" t="str">
            <v>Bajo</v>
          </cell>
        </row>
        <row r="859">
          <cell r="D859" t="str">
            <v>SantanderCapitanejo</v>
          </cell>
          <cell r="E859" t="str">
            <v>Bajo</v>
          </cell>
        </row>
        <row r="860">
          <cell r="D860" t="str">
            <v>SantanderCarcasí</v>
          </cell>
          <cell r="E860" t="str">
            <v>Limitado</v>
          </cell>
        </row>
        <row r="861">
          <cell r="D861" t="str">
            <v>SantanderCepitá</v>
          </cell>
          <cell r="E861" t="str">
            <v>Limitado</v>
          </cell>
        </row>
        <row r="862">
          <cell r="D862" t="str">
            <v>SantanderCerrito</v>
          </cell>
          <cell r="E862" t="str">
            <v>Bajo</v>
          </cell>
        </row>
        <row r="863">
          <cell r="D863" t="str">
            <v>SantanderCharalá</v>
          </cell>
          <cell r="E863" t="str">
            <v>Incipiente</v>
          </cell>
        </row>
        <row r="864">
          <cell r="D864" t="str">
            <v>SantanderCharta</v>
          </cell>
          <cell r="E864" t="str">
            <v>Bajo</v>
          </cell>
        </row>
        <row r="865">
          <cell r="D865" t="str">
            <v>SantanderChimá</v>
          </cell>
          <cell r="E865" t="str">
            <v>Limitado</v>
          </cell>
        </row>
        <row r="866">
          <cell r="D866" t="str">
            <v>SantanderChipatá</v>
          </cell>
          <cell r="E866" t="str">
            <v>Limitado</v>
          </cell>
        </row>
        <row r="867">
          <cell r="D867" t="str">
            <v>SantanderCimitarra</v>
          </cell>
          <cell r="E867" t="str">
            <v>Incipiente</v>
          </cell>
        </row>
        <row r="868">
          <cell r="D868" t="str">
            <v>SantanderConcepción</v>
          </cell>
          <cell r="E868" t="str">
            <v>Bajo</v>
          </cell>
        </row>
        <row r="869">
          <cell r="D869" t="str">
            <v>SantanderConfines</v>
          </cell>
          <cell r="E869" t="str">
            <v>Limitado</v>
          </cell>
        </row>
        <row r="870">
          <cell r="D870" t="str">
            <v>SantanderContratación</v>
          </cell>
          <cell r="E870" t="str">
            <v>Limitado</v>
          </cell>
        </row>
        <row r="871">
          <cell r="D871" t="str">
            <v>SantanderCoromoro</v>
          </cell>
          <cell r="E871" t="str">
            <v>Limitado</v>
          </cell>
        </row>
        <row r="872">
          <cell r="D872" t="str">
            <v>SantanderCurití</v>
          </cell>
          <cell r="E872" t="str">
            <v>Incipiente</v>
          </cell>
        </row>
        <row r="873">
          <cell r="D873" t="str">
            <v>SantanderEl Carmen de Chucurí</v>
          </cell>
          <cell r="E873" t="str">
            <v>Bajo</v>
          </cell>
        </row>
        <row r="874">
          <cell r="D874" t="str">
            <v>SantanderEl Guacamayo</v>
          </cell>
          <cell r="E874" t="str">
            <v>Limitado</v>
          </cell>
        </row>
        <row r="875">
          <cell r="D875" t="str">
            <v>SantanderEl Peñón</v>
          </cell>
          <cell r="E875" t="str">
            <v>Limitado</v>
          </cell>
        </row>
        <row r="876">
          <cell r="D876" t="str">
            <v>SantanderEl Playón</v>
          </cell>
          <cell r="E876" t="str">
            <v>Bajo</v>
          </cell>
        </row>
        <row r="877">
          <cell r="D877" t="str">
            <v>SantanderEncino</v>
          </cell>
          <cell r="E877" t="str">
            <v>Limitado</v>
          </cell>
        </row>
        <row r="878">
          <cell r="D878" t="str">
            <v>SantanderEnciso</v>
          </cell>
          <cell r="E878" t="str">
            <v>Bajo</v>
          </cell>
        </row>
        <row r="879">
          <cell r="D879" t="str">
            <v>SantanderFlorián</v>
          </cell>
          <cell r="E879" t="str">
            <v>Limitado</v>
          </cell>
        </row>
        <row r="880">
          <cell r="D880" t="str">
            <v>SantanderFloridablanca</v>
          </cell>
          <cell r="E880" t="str">
            <v>Moderado</v>
          </cell>
        </row>
        <row r="881">
          <cell r="D881" t="str">
            <v>SantanderGalán</v>
          </cell>
          <cell r="E881" t="str">
            <v>Limitado</v>
          </cell>
        </row>
        <row r="882">
          <cell r="D882" t="str">
            <v>SantanderGámbita</v>
          </cell>
          <cell r="E882" t="str">
            <v>Limitado</v>
          </cell>
        </row>
        <row r="883">
          <cell r="D883" t="str">
            <v>SantanderGiron</v>
          </cell>
          <cell r="E883" t="str">
            <v>Moderado</v>
          </cell>
        </row>
        <row r="884">
          <cell r="D884" t="str">
            <v>SantanderGuaca</v>
          </cell>
          <cell r="E884" t="str">
            <v>Bajo</v>
          </cell>
        </row>
        <row r="885">
          <cell r="D885" t="str">
            <v>SantanderGuadalupe</v>
          </cell>
          <cell r="E885" t="str">
            <v>Bajo</v>
          </cell>
        </row>
        <row r="886">
          <cell r="D886" t="str">
            <v>SantanderGuapotá</v>
          </cell>
          <cell r="E886" t="str">
            <v>Bajo</v>
          </cell>
        </row>
        <row r="887">
          <cell r="D887" t="str">
            <v>SantanderGuavatá</v>
          </cell>
          <cell r="E887" t="str">
            <v>Bajo</v>
          </cell>
        </row>
        <row r="888">
          <cell r="D888" t="str">
            <v>SantanderGüepsa</v>
          </cell>
          <cell r="E888" t="str">
            <v>Bajo</v>
          </cell>
        </row>
        <row r="889">
          <cell r="D889" t="str">
            <v>SantanderHato</v>
          </cell>
          <cell r="E889" t="str">
            <v>Limitado</v>
          </cell>
        </row>
        <row r="890">
          <cell r="D890" t="str">
            <v>SantanderJesús María</v>
          </cell>
          <cell r="E890" t="str">
            <v>Bajo</v>
          </cell>
        </row>
        <row r="891">
          <cell r="D891" t="str">
            <v>SantanderJordán</v>
          </cell>
          <cell r="E891" t="str">
            <v>Limitado</v>
          </cell>
        </row>
        <row r="892">
          <cell r="D892" t="str">
            <v>SantanderLa Belleza</v>
          </cell>
          <cell r="E892" t="str">
            <v>Limitado</v>
          </cell>
        </row>
        <row r="893">
          <cell r="D893" t="str">
            <v>SantanderLandázuri</v>
          </cell>
          <cell r="E893" t="str">
            <v>Bajo</v>
          </cell>
        </row>
        <row r="894">
          <cell r="D894" t="str">
            <v>SantanderLa Paz</v>
          </cell>
          <cell r="E894" t="str">
            <v>Limitado</v>
          </cell>
        </row>
        <row r="895">
          <cell r="D895" t="str">
            <v>SantanderLebrija</v>
          </cell>
          <cell r="E895" t="str">
            <v>Incipiente</v>
          </cell>
        </row>
        <row r="896">
          <cell r="D896" t="str">
            <v>SantanderLos Santos</v>
          </cell>
          <cell r="E896" t="str">
            <v>Bajo</v>
          </cell>
        </row>
        <row r="897">
          <cell r="D897" t="str">
            <v>SantanderMacaravita</v>
          </cell>
          <cell r="E897" t="str">
            <v>Limitado</v>
          </cell>
        </row>
        <row r="898">
          <cell r="D898" t="str">
            <v>SantanderMálaga</v>
          </cell>
          <cell r="E898" t="str">
            <v>Incipiente</v>
          </cell>
        </row>
        <row r="899">
          <cell r="D899" t="str">
            <v>SantanderMatanza</v>
          </cell>
          <cell r="E899" t="str">
            <v>Bajo</v>
          </cell>
        </row>
        <row r="900">
          <cell r="D900" t="str">
            <v>SantanderMogotes</v>
          </cell>
          <cell r="E900" t="str">
            <v>Bajo</v>
          </cell>
        </row>
        <row r="901">
          <cell r="D901" t="str">
            <v>SantanderMolagavita</v>
          </cell>
          <cell r="E901" t="str">
            <v>Limitado</v>
          </cell>
        </row>
        <row r="902">
          <cell r="D902" t="str">
            <v>SantanderOcamonte</v>
          </cell>
          <cell r="E902" t="str">
            <v>Bajo</v>
          </cell>
        </row>
        <row r="903">
          <cell r="D903" t="str">
            <v>SantanderOiba</v>
          </cell>
          <cell r="E903" t="str">
            <v>Bajo</v>
          </cell>
        </row>
        <row r="904">
          <cell r="D904" t="str">
            <v>SantanderOnzaga</v>
          </cell>
          <cell r="E904" t="str">
            <v>Limitado</v>
          </cell>
        </row>
        <row r="905">
          <cell r="D905" t="str">
            <v>SantanderPalmar</v>
          </cell>
          <cell r="E905" t="str">
            <v>Bajo</v>
          </cell>
        </row>
        <row r="906">
          <cell r="D906" t="str">
            <v>SantanderPalmas del Socorro</v>
          </cell>
          <cell r="E906" t="str">
            <v>Bajo</v>
          </cell>
        </row>
        <row r="907">
          <cell r="D907" t="str">
            <v>SantanderPáramo</v>
          </cell>
          <cell r="E907" t="str">
            <v>Bajo</v>
          </cell>
        </row>
        <row r="908">
          <cell r="D908" t="str">
            <v>SantanderPiedecuesta</v>
          </cell>
          <cell r="E908" t="str">
            <v>Moderado</v>
          </cell>
        </row>
        <row r="909">
          <cell r="D909" t="str">
            <v>SantanderPinchote</v>
          </cell>
          <cell r="E909" t="str">
            <v>Incipiente</v>
          </cell>
        </row>
        <row r="910">
          <cell r="D910" t="str">
            <v>SantanderPuente Nacional</v>
          </cell>
          <cell r="E910" t="str">
            <v>Bajo</v>
          </cell>
        </row>
        <row r="911">
          <cell r="D911" t="str">
            <v>SantanderPuerto Parra</v>
          </cell>
          <cell r="E911" t="str">
            <v>Bajo</v>
          </cell>
        </row>
        <row r="912">
          <cell r="D912" t="str">
            <v>SantanderPuerto Wilches</v>
          </cell>
          <cell r="E912" t="str">
            <v>Incipiente</v>
          </cell>
        </row>
        <row r="913">
          <cell r="D913" t="str">
            <v>SantanderRionegro</v>
          </cell>
          <cell r="E913" t="str">
            <v>Bajo</v>
          </cell>
        </row>
        <row r="914">
          <cell r="D914" t="str">
            <v>SantanderSabana de Torres</v>
          </cell>
          <cell r="E914" t="str">
            <v>Incipiente</v>
          </cell>
        </row>
        <row r="915">
          <cell r="D915" t="str">
            <v>SantanderSan Andrés</v>
          </cell>
          <cell r="E915" t="str">
            <v>Bajo</v>
          </cell>
        </row>
        <row r="916">
          <cell r="D916" t="str">
            <v>SantanderSan Benito</v>
          </cell>
          <cell r="E916" t="str">
            <v>Limitado</v>
          </cell>
        </row>
        <row r="917">
          <cell r="D917" t="str">
            <v>SantanderSan Gil</v>
          </cell>
          <cell r="E917" t="str">
            <v>Moderado</v>
          </cell>
        </row>
        <row r="918">
          <cell r="D918" t="str">
            <v>SantanderSan Joaquín</v>
          </cell>
          <cell r="E918" t="str">
            <v>Limitado</v>
          </cell>
        </row>
        <row r="919">
          <cell r="D919" t="str">
            <v>SantanderSan José de Miranda</v>
          </cell>
          <cell r="E919" t="str">
            <v>Limitado</v>
          </cell>
        </row>
        <row r="920">
          <cell r="D920" t="str">
            <v>SantanderSan Miguel</v>
          </cell>
          <cell r="E920" t="str">
            <v>Limitado</v>
          </cell>
        </row>
        <row r="921">
          <cell r="D921" t="str">
            <v>SantanderSan Vicente de Chucurí</v>
          </cell>
          <cell r="E921" t="str">
            <v>Incipiente</v>
          </cell>
        </row>
        <row r="922">
          <cell r="D922" t="str">
            <v>SantanderSanta Bárbara</v>
          </cell>
          <cell r="E922" t="str">
            <v>Limitado</v>
          </cell>
        </row>
        <row r="923">
          <cell r="D923" t="str">
            <v>SantanderSanta Helena del Opón</v>
          </cell>
          <cell r="E923" t="str">
            <v>Limitado</v>
          </cell>
        </row>
        <row r="924">
          <cell r="D924" t="str">
            <v>SantanderSimacota</v>
          </cell>
          <cell r="E924" t="str">
            <v>Bajo</v>
          </cell>
        </row>
        <row r="925">
          <cell r="D925" t="str">
            <v>SantanderSocorro</v>
          </cell>
          <cell r="E925" t="str">
            <v>Incipiente</v>
          </cell>
        </row>
        <row r="926">
          <cell r="D926" t="str">
            <v>SantanderSuaita</v>
          </cell>
          <cell r="E926" t="str">
            <v>Bajo</v>
          </cell>
        </row>
        <row r="927">
          <cell r="D927" t="str">
            <v>SantanderSucre</v>
          </cell>
          <cell r="E927" t="str">
            <v>Limitado</v>
          </cell>
        </row>
        <row r="928">
          <cell r="D928" t="str">
            <v>SantanderSuratá</v>
          </cell>
          <cell r="E928" t="str">
            <v>Bajo</v>
          </cell>
        </row>
        <row r="929">
          <cell r="D929" t="str">
            <v>SantanderTona</v>
          </cell>
          <cell r="E929" t="str">
            <v>Limitado</v>
          </cell>
        </row>
        <row r="930">
          <cell r="D930" t="str">
            <v>SantanderValle de San José</v>
          </cell>
          <cell r="E930" t="str">
            <v>Bajo</v>
          </cell>
        </row>
        <row r="931">
          <cell r="D931" t="str">
            <v>SantanderVélez</v>
          </cell>
          <cell r="E931" t="str">
            <v>Incipiente</v>
          </cell>
        </row>
        <row r="932">
          <cell r="D932" t="str">
            <v>SantanderVetas</v>
          </cell>
          <cell r="E932" t="str">
            <v>Bajo</v>
          </cell>
        </row>
        <row r="933">
          <cell r="D933" t="str">
            <v>SantanderVillanueva</v>
          </cell>
          <cell r="E933" t="str">
            <v>Bajo</v>
          </cell>
        </row>
        <row r="934">
          <cell r="D934" t="str">
            <v>SantanderZapatoca</v>
          </cell>
          <cell r="E934" t="str">
            <v>Bajo</v>
          </cell>
        </row>
        <row r="935">
          <cell r="D935" t="str">
            <v>SucreSincelejo</v>
          </cell>
          <cell r="E935" t="str">
            <v>Moderado</v>
          </cell>
        </row>
        <row r="936">
          <cell r="D936" t="str">
            <v>SucreBuenavista</v>
          </cell>
          <cell r="E936" t="str">
            <v>Bajo</v>
          </cell>
        </row>
        <row r="937">
          <cell r="D937" t="str">
            <v>SucreCaimito</v>
          </cell>
          <cell r="E937" t="str">
            <v>Bajo</v>
          </cell>
        </row>
        <row r="938">
          <cell r="D938" t="str">
            <v>SucreColoso</v>
          </cell>
          <cell r="E938" t="str">
            <v>Bajo</v>
          </cell>
        </row>
        <row r="939">
          <cell r="D939" t="str">
            <v>SucreCorozal</v>
          </cell>
          <cell r="E939" t="str">
            <v>Moderado</v>
          </cell>
        </row>
        <row r="940">
          <cell r="D940" t="str">
            <v>SucreCoveñas</v>
          </cell>
          <cell r="E940" t="str">
            <v>Incipiente</v>
          </cell>
        </row>
        <row r="941">
          <cell r="D941" t="str">
            <v>SucreChalán</v>
          </cell>
          <cell r="E941" t="str">
            <v>Limitado</v>
          </cell>
        </row>
        <row r="942">
          <cell r="D942" t="str">
            <v>SucreEl Roble</v>
          </cell>
          <cell r="E942" t="str">
            <v>Limitado</v>
          </cell>
        </row>
        <row r="943">
          <cell r="D943" t="str">
            <v>SucreGaleras</v>
          </cell>
          <cell r="E943" t="str">
            <v>Bajo</v>
          </cell>
        </row>
        <row r="944">
          <cell r="D944" t="str">
            <v>SucreGuaranda</v>
          </cell>
          <cell r="E944" t="str">
            <v>Bajo</v>
          </cell>
        </row>
        <row r="945">
          <cell r="D945" t="str">
            <v>SucreLa Unión</v>
          </cell>
          <cell r="E945" t="str">
            <v>Bajo</v>
          </cell>
        </row>
        <row r="946">
          <cell r="D946" t="str">
            <v>SucreLos Palmitos</v>
          </cell>
          <cell r="E946" t="str">
            <v>Incipiente</v>
          </cell>
        </row>
        <row r="947">
          <cell r="D947" t="str">
            <v>SucreMajagual</v>
          </cell>
          <cell r="E947" t="str">
            <v>Bajo</v>
          </cell>
        </row>
        <row r="948">
          <cell r="D948" t="str">
            <v>SucreMorroa</v>
          </cell>
          <cell r="E948" t="str">
            <v>Incipiente</v>
          </cell>
        </row>
        <row r="949">
          <cell r="D949" t="str">
            <v>SucreOvejas</v>
          </cell>
          <cell r="E949" t="str">
            <v>Bajo</v>
          </cell>
        </row>
        <row r="950">
          <cell r="D950" t="str">
            <v>SucrePalmito</v>
          </cell>
          <cell r="E950" t="str">
            <v>Bajo</v>
          </cell>
        </row>
        <row r="951">
          <cell r="D951" t="str">
            <v>SucreSampués</v>
          </cell>
          <cell r="E951" t="str">
            <v>Incipiente</v>
          </cell>
        </row>
        <row r="952">
          <cell r="D952" t="str">
            <v>SucreSan Benito Abad</v>
          </cell>
          <cell r="E952" t="str">
            <v>Bajo</v>
          </cell>
        </row>
        <row r="953">
          <cell r="D953" t="str">
            <v>SucreSan Juan de Betulia</v>
          </cell>
          <cell r="E953" t="str">
            <v>Bajo</v>
          </cell>
        </row>
        <row r="954">
          <cell r="D954" t="str">
            <v>SucreSan Marcos</v>
          </cell>
          <cell r="E954" t="str">
            <v>Bajo</v>
          </cell>
        </row>
        <row r="955">
          <cell r="D955" t="str">
            <v>SucreSan Onofre</v>
          </cell>
          <cell r="E955" t="str">
            <v>Bajo</v>
          </cell>
        </row>
        <row r="956">
          <cell r="D956" t="str">
            <v>SucreSan Pedro</v>
          </cell>
          <cell r="E956" t="str">
            <v>Bajo</v>
          </cell>
        </row>
        <row r="957">
          <cell r="D957" t="str">
            <v>SucreSan Luis de Sincé</v>
          </cell>
          <cell r="E957" t="str">
            <v>Incipiente</v>
          </cell>
        </row>
        <row r="958">
          <cell r="D958" t="str">
            <v>SucreSucre</v>
          </cell>
          <cell r="E958" t="str">
            <v>Limitado</v>
          </cell>
        </row>
        <row r="959">
          <cell r="D959" t="str">
            <v>SucreSantiago de Tolú</v>
          </cell>
          <cell r="E959" t="str">
            <v>Incipiente</v>
          </cell>
        </row>
        <row r="960">
          <cell r="D960" t="str">
            <v>SucreTolú Viejo</v>
          </cell>
          <cell r="E960" t="str">
            <v>Incipiente</v>
          </cell>
        </row>
        <row r="961">
          <cell r="D961" t="str">
            <v>TolimaIbague</v>
          </cell>
          <cell r="E961" t="str">
            <v>Moderado</v>
          </cell>
        </row>
        <row r="962">
          <cell r="D962" t="str">
            <v>TolimaAlpujarra</v>
          </cell>
          <cell r="E962" t="str">
            <v>Bajo</v>
          </cell>
        </row>
        <row r="963">
          <cell r="D963" t="str">
            <v>TolimaAlvarado</v>
          </cell>
          <cell r="E963" t="str">
            <v>Bajo</v>
          </cell>
        </row>
        <row r="964">
          <cell r="D964" t="str">
            <v>TolimaAmbalema</v>
          </cell>
          <cell r="E964" t="str">
            <v>Incipiente</v>
          </cell>
        </row>
        <row r="965">
          <cell r="D965" t="str">
            <v>TolimaAnzoátegui</v>
          </cell>
          <cell r="E965" t="str">
            <v>Bajo</v>
          </cell>
        </row>
        <row r="966">
          <cell r="D966" t="str">
            <v>TolimaArmero</v>
          </cell>
          <cell r="E966" t="str">
            <v>Bajo</v>
          </cell>
        </row>
        <row r="967">
          <cell r="D967" t="str">
            <v>TolimaAtaco</v>
          </cell>
          <cell r="E967" t="str">
            <v>Bajo</v>
          </cell>
        </row>
        <row r="968">
          <cell r="D968" t="str">
            <v>TolimaCajamarca</v>
          </cell>
          <cell r="E968" t="str">
            <v>Bajo</v>
          </cell>
        </row>
        <row r="969">
          <cell r="D969" t="str">
            <v>TolimaCarmen de Apicalá</v>
          </cell>
          <cell r="E969" t="str">
            <v>Incipiente</v>
          </cell>
        </row>
        <row r="970">
          <cell r="D970" t="str">
            <v>TolimaCasabianca</v>
          </cell>
          <cell r="E970" t="str">
            <v>Bajo</v>
          </cell>
        </row>
        <row r="971">
          <cell r="D971" t="str">
            <v>TolimaChaparral</v>
          </cell>
          <cell r="E971" t="str">
            <v>Incipiente</v>
          </cell>
        </row>
        <row r="972">
          <cell r="D972" t="str">
            <v>TolimaCoello</v>
          </cell>
          <cell r="E972" t="str">
            <v>Incipiente</v>
          </cell>
        </row>
        <row r="973">
          <cell r="D973" t="str">
            <v>TolimaCoyaima</v>
          </cell>
          <cell r="E973" t="str">
            <v>Bajo</v>
          </cell>
        </row>
        <row r="974">
          <cell r="D974" t="str">
            <v>TolimaCunday</v>
          </cell>
          <cell r="E974" t="str">
            <v>Bajo</v>
          </cell>
        </row>
        <row r="975">
          <cell r="D975" t="str">
            <v>TolimaDolores</v>
          </cell>
          <cell r="E975" t="str">
            <v>Bajo</v>
          </cell>
        </row>
        <row r="976">
          <cell r="D976" t="str">
            <v>TolimaEspinal</v>
          </cell>
          <cell r="E976" t="str">
            <v>Moderado</v>
          </cell>
        </row>
        <row r="977">
          <cell r="D977" t="str">
            <v>TolimaFalan</v>
          </cell>
          <cell r="E977" t="str">
            <v>Bajo</v>
          </cell>
        </row>
        <row r="978">
          <cell r="D978" t="str">
            <v>TolimaFlandes</v>
          </cell>
          <cell r="E978" t="str">
            <v>Moderado</v>
          </cell>
        </row>
        <row r="979">
          <cell r="D979" t="str">
            <v>TolimaFresno</v>
          </cell>
          <cell r="E979" t="str">
            <v>Incipiente</v>
          </cell>
        </row>
        <row r="980">
          <cell r="D980" t="str">
            <v>TolimaGuamo</v>
          </cell>
          <cell r="E980" t="str">
            <v>Incipiente</v>
          </cell>
        </row>
        <row r="981">
          <cell r="D981" t="str">
            <v>TolimaHerveo</v>
          </cell>
          <cell r="E981" t="str">
            <v>Bajo</v>
          </cell>
        </row>
        <row r="982">
          <cell r="D982" t="str">
            <v>TolimaHonda</v>
          </cell>
          <cell r="E982" t="str">
            <v>Moderado</v>
          </cell>
        </row>
        <row r="983">
          <cell r="D983" t="str">
            <v>TolimaIcononzo</v>
          </cell>
          <cell r="E983" t="str">
            <v>Bajo</v>
          </cell>
        </row>
        <row r="984">
          <cell r="D984" t="str">
            <v>TolimaLérida</v>
          </cell>
          <cell r="E984" t="str">
            <v>Incipiente</v>
          </cell>
        </row>
        <row r="985">
          <cell r="D985" t="str">
            <v>TolimaLíbano</v>
          </cell>
          <cell r="E985" t="str">
            <v>Incipiente</v>
          </cell>
        </row>
        <row r="986">
          <cell r="D986" t="str">
            <v>TolimaMariquita</v>
          </cell>
          <cell r="E986" t="str">
            <v>Incipiente</v>
          </cell>
        </row>
        <row r="987">
          <cell r="D987" t="str">
            <v>TolimaMelgar</v>
          </cell>
          <cell r="E987" t="str">
            <v>Moderado</v>
          </cell>
        </row>
        <row r="988">
          <cell r="D988" t="str">
            <v>TolimaMurillo</v>
          </cell>
          <cell r="E988" t="str">
            <v>Bajo</v>
          </cell>
        </row>
        <row r="989">
          <cell r="D989" t="str">
            <v>TolimaNatagaima</v>
          </cell>
          <cell r="E989" t="str">
            <v>Incipiente</v>
          </cell>
        </row>
        <row r="990">
          <cell r="D990" t="str">
            <v>TolimaOrtega</v>
          </cell>
          <cell r="E990" t="str">
            <v>Bajo</v>
          </cell>
        </row>
        <row r="991">
          <cell r="D991" t="str">
            <v>TolimaPalocabildo</v>
          </cell>
          <cell r="E991" t="str">
            <v>Bajo</v>
          </cell>
        </row>
        <row r="992">
          <cell r="D992" t="str">
            <v>TolimaPiedras</v>
          </cell>
          <cell r="E992" t="str">
            <v>Bajo</v>
          </cell>
        </row>
        <row r="993">
          <cell r="D993" t="str">
            <v>TolimaPlanadas</v>
          </cell>
          <cell r="E993" t="str">
            <v>Bajo</v>
          </cell>
        </row>
        <row r="994">
          <cell r="D994" t="str">
            <v>TolimaPrado</v>
          </cell>
          <cell r="E994" t="str">
            <v>Bajo</v>
          </cell>
        </row>
        <row r="995">
          <cell r="D995" t="str">
            <v>TolimaPurificación</v>
          </cell>
          <cell r="E995" t="str">
            <v>Incipiente</v>
          </cell>
        </row>
        <row r="996">
          <cell r="D996" t="str">
            <v>TolimaRioblanco</v>
          </cell>
          <cell r="E996" t="str">
            <v>Limitado</v>
          </cell>
        </row>
        <row r="997">
          <cell r="D997" t="str">
            <v>TolimaRoncesvalles</v>
          </cell>
          <cell r="E997" t="str">
            <v>Limitado</v>
          </cell>
        </row>
        <row r="998">
          <cell r="D998" t="str">
            <v>TolimaRovira</v>
          </cell>
          <cell r="E998" t="str">
            <v>Bajo</v>
          </cell>
        </row>
        <row r="999">
          <cell r="D999" t="str">
            <v>TolimaSaldaña</v>
          </cell>
          <cell r="E999" t="str">
            <v>Incipiente</v>
          </cell>
        </row>
        <row r="1000">
          <cell r="D1000" t="str">
            <v>TolimaSan Antonio</v>
          </cell>
          <cell r="E1000" t="str">
            <v>Bajo</v>
          </cell>
        </row>
        <row r="1001">
          <cell r="D1001" t="str">
            <v>TolimaSan Luis</v>
          </cell>
          <cell r="E1001" t="str">
            <v>Bajo</v>
          </cell>
        </row>
        <row r="1002">
          <cell r="D1002" t="str">
            <v>TolimaSanta Isabel</v>
          </cell>
          <cell r="E1002" t="str">
            <v>Bajo</v>
          </cell>
        </row>
        <row r="1003">
          <cell r="D1003" t="str">
            <v>TolimaSuárez</v>
          </cell>
          <cell r="E1003" t="str">
            <v>Bajo</v>
          </cell>
        </row>
        <row r="1004">
          <cell r="D1004" t="str">
            <v>TolimaValle de San Juan</v>
          </cell>
          <cell r="E1004" t="str">
            <v>Bajo</v>
          </cell>
        </row>
        <row r="1005">
          <cell r="D1005" t="str">
            <v>TolimaVenadillo</v>
          </cell>
          <cell r="E1005" t="str">
            <v>Incipiente</v>
          </cell>
        </row>
        <row r="1006">
          <cell r="D1006" t="str">
            <v>TolimaVillahermosa</v>
          </cell>
          <cell r="E1006" t="str">
            <v>Bajo</v>
          </cell>
        </row>
        <row r="1007">
          <cell r="D1007" t="str">
            <v>TolimaVillarrica</v>
          </cell>
          <cell r="E1007" t="str">
            <v>Bajo</v>
          </cell>
        </row>
        <row r="1008">
          <cell r="D1008" t="str">
            <v>Valle del CaucaCali</v>
          </cell>
          <cell r="E1008" t="str">
            <v>Alto</v>
          </cell>
        </row>
        <row r="1009">
          <cell r="D1009" t="str">
            <v>Valle del CaucaAlcalá</v>
          </cell>
          <cell r="E1009" t="str">
            <v>Incipiente</v>
          </cell>
        </row>
        <row r="1010">
          <cell r="D1010" t="str">
            <v>Valle del CaucaAndalucía</v>
          </cell>
          <cell r="E1010" t="str">
            <v>Incipiente</v>
          </cell>
        </row>
        <row r="1011">
          <cell r="D1011" t="str">
            <v>Valle del CaucaAnsermanuevo</v>
          </cell>
          <cell r="E1011" t="str">
            <v>Bajo</v>
          </cell>
        </row>
        <row r="1012">
          <cell r="D1012" t="str">
            <v>Valle del CaucaArgelia</v>
          </cell>
          <cell r="E1012" t="str">
            <v>Bajo</v>
          </cell>
        </row>
        <row r="1013">
          <cell r="D1013" t="str">
            <v>Valle del CaucaBolívar</v>
          </cell>
          <cell r="E1013" t="str">
            <v>Bajo</v>
          </cell>
        </row>
        <row r="1014">
          <cell r="D1014" t="str">
            <v>Valle del CaucaBuenaventura</v>
          </cell>
          <cell r="E1014" t="str">
            <v>Incipiente</v>
          </cell>
        </row>
        <row r="1015">
          <cell r="D1015" t="str">
            <v>Valle del CaucaBuga</v>
          </cell>
          <cell r="E1015" t="str">
            <v>Moderado</v>
          </cell>
        </row>
        <row r="1016">
          <cell r="D1016" t="str">
            <v>Valle del CaucaBugalagrande</v>
          </cell>
          <cell r="E1016" t="str">
            <v>Incipiente</v>
          </cell>
        </row>
        <row r="1017">
          <cell r="D1017" t="str">
            <v>Valle del CaucaCaicedonia</v>
          </cell>
          <cell r="E1017" t="str">
            <v>Moderado</v>
          </cell>
        </row>
        <row r="1018">
          <cell r="D1018" t="str">
            <v>Valle del CaucaCalima</v>
          </cell>
          <cell r="E1018" t="str">
            <v>Incipiente</v>
          </cell>
        </row>
        <row r="1019">
          <cell r="D1019" t="str">
            <v>Valle del CaucaCandelaria</v>
          </cell>
          <cell r="E1019" t="str">
            <v>Moderado</v>
          </cell>
        </row>
        <row r="1020">
          <cell r="D1020" t="str">
            <v>Valle del CaucaCartago</v>
          </cell>
          <cell r="E1020" t="str">
            <v>Moderado</v>
          </cell>
        </row>
        <row r="1021">
          <cell r="D1021" t="str">
            <v>Valle del CaucaDagua</v>
          </cell>
          <cell r="E1021" t="str">
            <v>Incipiente</v>
          </cell>
        </row>
        <row r="1022">
          <cell r="D1022" t="str">
            <v>Valle del CaucaEl Águila</v>
          </cell>
          <cell r="E1022" t="str">
            <v>Bajo</v>
          </cell>
        </row>
        <row r="1023">
          <cell r="D1023" t="str">
            <v>Valle del CaucaEl Cairo</v>
          </cell>
          <cell r="E1023" t="str">
            <v>Bajo</v>
          </cell>
        </row>
        <row r="1024">
          <cell r="D1024" t="str">
            <v>Valle del CaucaEl Cerrito</v>
          </cell>
          <cell r="E1024" t="str">
            <v>Moderado</v>
          </cell>
        </row>
        <row r="1025">
          <cell r="D1025" t="str">
            <v>Valle del CaucaEl Dovio</v>
          </cell>
          <cell r="E1025" t="str">
            <v>Bajo</v>
          </cell>
        </row>
        <row r="1026">
          <cell r="D1026" t="str">
            <v>Valle del CaucaFlorida</v>
          </cell>
          <cell r="E1026" t="str">
            <v>Moderado</v>
          </cell>
        </row>
        <row r="1027">
          <cell r="D1027" t="str">
            <v>Valle del CaucaGinebra</v>
          </cell>
          <cell r="E1027" t="str">
            <v>Incipiente</v>
          </cell>
        </row>
        <row r="1028">
          <cell r="D1028" t="str">
            <v>Valle del CaucaGuacarí</v>
          </cell>
          <cell r="E1028" t="str">
            <v>Incipiente</v>
          </cell>
        </row>
        <row r="1029">
          <cell r="D1029" t="str">
            <v>Valle del CaucaJamundi</v>
          </cell>
          <cell r="E1029" t="str">
            <v>Moderado</v>
          </cell>
        </row>
        <row r="1030">
          <cell r="D1030" t="str">
            <v>Valle del CaucaLa Cumbre</v>
          </cell>
          <cell r="E1030" t="str">
            <v>Incipiente</v>
          </cell>
        </row>
        <row r="1031">
          <cell r="D1031" t="str">
            <v>Valle del CaucaLa Unión</v>
          </cell>
          <cell r="E1031" t="str">
            <v>Incipiente</v>
          </cell>
        </row>
        <row r="1032">
          <cell r="D1032" t="str">
            <v>Valle del CaucaLa Victoria</v>
          </cell>
          <cell r="E1032" t="str">
            <v>Incipiente</v>
          </cell>
        </row>
        <row r="1033">
          <cell r="D1033" t="str">
            <v>Valle del CaucaObando</v>
          </cell>
          <cell r="E1033" t="str">
            <v>Bajo</v>
          </cell>
        </row>
        <row r="1034">
          <cell r="D1034" t="str">
            <v>Valle del CaucaPalmira</v>
          </cell>
          <cell r="E1034" t="str">
            <v>Moderado</v>
          </cell>
        </row>
        <row r="1035">
          <cell r="D1035" t="str">
            <v>Valle del CaucaPradera</v>
          </cell>
          <cell r="E1035" t="str">
            <v>Moderado</v>
          </cell>
        </row>
        <row r="1036">
          <cell r="D1036" t="str">
            <v>Valle del CaucaRestrepo</v>
          </cell>
          <cell r="E1036" t="str">
            <v>Incipiente</v>
          </cell>
        </row>
        <row r="1037">
          <cell r="D1037" t="str">
            <v>Valle del CaucaRiofrío</v>
          </cell>
          <cell r="E1037" t="str">
            <v>Bajo</v>
          </cell>
        </row>
        <row r="1038">
          <cell r="D1038" t="str">
            <v>Valle del CaucaRoldanillo</v>
          </cell>
          <cell r="E1038" t="str">
            <v>Moderado</v>
          </cell>
        </row>
        <row r="1039">
          <cell r="D1039" t="str">
            <v>Valle del CaucaSan Pedro</v>
          </cell>
          <cell r="E1039" t="str">
            <v>Incipiente</v>
          </cell>
        </row>
        <row r="1040">
          <cell r="D1040" t="str">
            <v>Valle del CaucaSevilla</v>
          </cell>
          <cell r="E1040" t="str">
            <v>Incipiente</v>
          </cell>
        </row>
        <row r="1041">
          <cell r="D1041" t="str">
            <v>Valle del CaucaToro</v>
          </cell>
          <cell r="E1041" t="str">
            <v>Incipiente</v>
          </cell>
        </row>
        <row r="1042">
          <cell r="D1042" t="str">
            <v>Valle del CaucaTrujillo</v>
          </cell>
          <cell r="E1042" t="str">
            <v>Incipiente</v>
          </cell>
        </row>
        <row r="1043">
          <cell r="D1043" t="str">
            <v>Valle del CaucaTulua</v>
          </cell>
          <cell r="E1043" t="str">
            <v>Moderado</v>
          </cell>
        </row>
        <row r="1044">
          <cell r="D1044" t="str">
            <v>Valle del CaucaUlloa</v>
          </cell>
          <cell r="E1044" t="str">
            <v>Bajo</v>
          </cell>
        </row>
        <row r="1045">
          <cell r="D1045" t="str">
            <v>Valle del CaucaVersalles</v>
          </cell>
          <cell r="E1045" t="str">
            <v>Bajo</v>
          </cell>
        </row>
        <row r="1046">
          <cell r="D1046" t="str">
            <v>Valle del CaucaVijes</v>
          </cell>
          <cell r="E1046" t="str">
            <v>Incipiente</v>
          </cell>
        </row>
        <row r="1047">
          <cell r="D1047" t="str">
            <v>Valle del CaucaYotoco</v>
          </cell>
          <cell r="E1047" t="str">
            <v>Incipiente</v>
          </cell>
        </row>
        <row r="1048">
          <cell r="D1048" t="str">
            <v>Valle del CaucaYumbo</v>
          </cell>
          <cell r="E1048" t="str">
            <v>Moderado</v>
          </cell>
        </row>
        <row r="1049">
          <cell r="D1049" t="str">
            <v>Valle del CaucaZarzal</v>
          </cell>
          <cell r="E1049" t="str">
            <v>Moderado</v>
          </cell>
        </row>
        <row r="1050">
          <cell r="D1050" t="str">
            <v>AraucaArauca</v>
          </cell>
          <cell r="E1050" t="str">
            <v>Incipiente</v>
          </cell>
        </row>
        <row r="1051">
          <cell r="D1051" t="str">
            <v>AraucaArauquita</v>
          </cell>
          <cell r="E1051" t="str">
            <v>Bajo</v>
          </cell>
        </row>
        <row r="1052">
          <cell r="D1052" t="str">
            <v>AraucaCravo Norte</v>
          </cell>
          <cell r="E1052" t="str">
            <v>Limitado</v>
          </cell>
        </row>
        <row r="1053">
          <cell r="D1053" t="str">
            <v>AraucaFortul</v>
          </cell>
          <cell r="E1053" t="str">
            <v>Bajo</v>
          </cell>
        </row>
        <row r="1054">
          <cell r="D1054" t="str">
            <v>AraucaPuerto Rondón</v>
          </cell>
          <cell r="E1054" t="str">
            <v>Bajo</v>
          </cell>
        </row>
        <row r="1055">
          <cell r="D1055" t="str">
            <v>AraucaSaravena</v>
          </cell>
          <cell r="E1055" t="str">
            <v>Bajo</v>
          </cell>
        </row>
        <row r="1056">
          <cell r="D1056" t="str">
            <v>AraucaTame</v>
          </cell>
          <cell r="E1056" t="str">
            <v>Incipiente</v>
          </cell>
        </row>
        <row r="1057">
          <cell r="D1057" t="str">
            <v>CasanareYopal</v>
          </cell>
          <cell r="E1057" t="str">
            <v>Moderado</v>
          </cell>
        </row>
        <row r="1058">
          <cell r="D1058" t="str">
            <v>CasanareAguazul</v>
          </cell>
          <cell r="E1058" t="str">
            <v>Incipiente</v>
          </cell>
        </row>
        <row r="1059">
          <cell r="D1059" t="str">
            <v>CasanareChámeza</v>
          </cell>
          <cell r="E1059" t="str">
            <v>Limitado</v>
          </cell>
        </row>
        <row r="1060">
          <cell r="D1060" t="str">
            <v>CasanareHato Corozal</v>
          </cell>
          <cell r="E1060" t="str">
            <v>Bajo</v>
          </cell>
        </row>
        <row r="1061">
          <cell r="D1061" t="str">
            <v>CasanareLa Salina</v>
          </cell>
          <cell r="E1061" t="str">
            <v>Limitado</v>
          </cell>
        </row>
        <row r="1062">
          <cell r="D1062" t="str">
            <v>CasanareManí</v>
          </cell>
          <cell r="E1062" t="str">
            <v>Bajo</v>
          </cell>
        </row>
        <row r="1063">
          <cell r="D1063" t="str">
            <v>CasanareMonterrey</v>
          </cell>
          <cell r="E1063" t="str">
            <v>Incipiente</v>
          </cell>
        </row>
        <row r="1064">
          <cell r="D1064" t="str">
            <v>CasanareNunchía</v>
          </cell>
          <cell r="E1064" t="str">
            <v>Bajo</v>
          </cell>
        </row>
        <row r="1065">
          <cell r="D1065" t="str">
            <v>CasanareOrocué</v>
          </cell>
          <cell r="E1065" t="str">
            <v>Bajo</v>
          </cell>
        </row>
        <row r="1066">
          <cell r="D1066" t="str">
            <v>CasanarePaz de Ariporo</v>
          </cell>
          <cell r="E1066" t="str">
            <v>Incipiente</v>
          </cell>
        </row>
        <row r="1067">
          <cell r="D1067" t="str">
            <v>CasanarePore</v>
          </cell>
          <cell r="E1067" t="str">
            <v>Bajo</v>
          </cell>
        </row>
        <row r="1068">
          <cell r="D1068" t="str">
            <v>CasanareRecetor</v>
          </cell>
          <cell r="E1068" t="str">
            <v>Limitado</v>
          </cell>
        </row>
        <row r="1069">
          <cell r="D1069" t="str">
            <v>CasanareSabanalarga</v>
          </cell>
          <cell r="E1069" t="str">
            <v>Limitado</v>
          </cell>
        </row>
        <row r="1070">
          <cell r="D1070" t="str">
            <v>CasanareSácama</v>
          </cell>
          <cell r="E1070" t="str">
            <v>Limitado</v>
          </cell>
        </row>
        <row r="1071">
          <cell r="D1071" t="str">
            <v>CasanareSan Luis de Palenque</v>
          </cell>
          <cell r="E1071" t="str">
            <v>Bajo</v>
          </cell>
        </row>
        <row r="1072">
          <cell r="D1072" t="str">
            <v>CasanareTámara</v>
          </cell>
          <cell r="E1072" t="str">
            <v>Bajo</v>
          </cell>
        </row>
        <row r="1073">
          <cell r="D1073" t="str">
            <v>CasanareTauramena</v>
          </cell>
          <cell r="E1073" t="str">
            <v>Incipiente</v>
          </cell>
        </row>
        <row r="1074">
          <cell r="D1074" t="str">
            <v>CasanareTrinidad</v>
          </cell>
          <cell r="E1074" t="str">
            <v>Bajo</v>
          </cell>
        </row>
        <row r="1075">
          <cell r="D1075" t="str">
            <v>CasanareVillanueva</v>
          </cell>
          <cell r="E1075" t="str">
            <v>Incipiente</v>
          </cell>
        </row>
        <row r="1076">
          <cell r="D1076" t="str">
            <v>PutumayoMocoa</v>
          </cell>
          <cell r="E1076" t="str">
            <v>Incipiente</v>
          </cell>
        </row>
        <row r="1077">
          <cell r="D1077" t="str">
            <v>PutumayoColón</v>
          </cell>
          <cell r="E1077" t="str">
            <v>Bajo</v>
          </cell>
        </row>
        <row r="1078">
          <cell r="D1078" t="str">
            <v>PutumayoOrito</v>
          </cell>
          <cell r="E1078" t="str">
            <v>Incipiente</v>
          </cell>
        </row>
        <row r="1079">
          <cell r="D1079" t="str">
            <v>PutumayoPuerto Asís</v>
          </cell>
          <cell r="E1079" t="str">
            <v>Incipiente</v>
          </cell>
        </row>
        <row r="1080">
          <cell r="D1080" t="str">
            <v>PutumayoPuerto Caicedo</v>
          </cell>
          <cell r="E1080" t="str">
            <v>Bajo</v>
          </cell>
        </row>
        <row r="1081">
          <cell r="D1081" t="str">
            <v>PutumayoPuerto Guzmán</v>
          </cell>
          <cell r="E1081" t="str">
            <v>Limitado</v>
          </cell>
        </row>
        <row r="1082">
          <cell r="D1082" t="str">
            <v>PutumayoPuerto Leguízamo</v>
          </cell>
          <cell r="E1082" t="str">
            <v>Limitado</v>
          </cell>
        </row>
        <row r="1083">
          <cell r="D1083" t="str">
            <v>PutumayoSibundoy</v>
          </cell>
          <cell r="E1083" t="str">
            <v>Incipiente</v>
          </cell>
        </row>
        <row r="1084">
          <cell r="D1084" t="str">
            <v>PutumayoSan Francisco</v>
          </cell>
          <cell r="E1084" t="str">
            <v>Bajo</v>
          </cell>
        </row>
        <row r="1085">
          <cell r="D1085" t="str">
            <v>PutumayoSan Miguel</v>
          </cell>
          <cell r="E1085" t="str">
            <v>Limitado</v>
          </cell>
        </row>
        <row r="1086">
          <cell r="D1086" t="str">
            <v>PutumayoSantiago</v>
          </cell>
          <cell r="E1086" t="str">
            <v>Bajo</v>
          </cell>
        </row>
        <row r="1087">
          <cell r="D1087" t="str">
            <v>PutumayoValle del Guamuez</v>
          </cell>
          <cell r="E1087" t="str">
            <v>Bajo</v>
          </cell>
        </row>
        <row r="1088">
          <cell r="D1088" t="str">
            <v>PutumayoVillagarzón</v>
          </cell>
          <cell r="E1088" t="str">
            <v>Bajo</v>
          </cell>
        </row>
        <row r="1089">
          <cell r="D1089" t="str">
            <v>Archipiélago de San AndrésSan Andrés</v>
          </cell>
          <cell r="E1089" t="str">
            <v>Limitado</v>
          </cell>
        </row>
        <row r="1090">
          <cell r="D1090" t="str">
            <v>Archipiélago de San AndrésProvidencia</v>
          </cell>
          <cell r="E1090" t="str">
            <v>Limitado</v>
          </cell>
        </row>
        <row r="1091">
          <cell r="D1091" t="str">
            <v>AmazonasLeticia</v>
          </cell>
          <cell r="E1091" t="str">
            <v>Bajo</v>
          </cell>
        </row>
        <row r="1092">
          <cell r="D1092" t="str">
            <v>AmazonasEl Encanto (CD)</v>
          </cell>
          <cell r="E1092" t="str">
            <v>Limitado</v>
          </cell>
        </row>
        <row r="1093">
          <cell r="D1093" t="str">
            <v>AmazonasLa Chorrera (CD)</v>
          </cell>
          <cell r="E1093" t="str">
            <v>Limitado</v>
          </cell>
        </row>
        <row r="1094">
          <cell r="D1094" t="str">
            <v>AmazonasLa Pedrera (CD)</v>
          </cell>
          <cell r="E1094" t="str">
            <v>Limitado</v>
          </cell>
        </row>
        <row r="1095">
          <cell r="D1095" t="str">
            <v>AmazonasLa Victoria (CD)</v>
          </cell>
          <cell r="E1095" t="str">
            <v>Limitado</v>
          </cell>
        </row>
        <row r="1096">
          <cell r="D1096" t="str">
            <v>AmazonasMiriti - Paraná (CD)</v>
          </cell>
          <cell r="E1096" t="str">
            <v>Limitado</v>
          </cell>
        </row>
        <row r="1097">
          <cell r="D1097" t="str">
            <v>AmazonasPuerto Alegría (CD)</v>
          </cell>
          <cell r="E1097" t="str">
            <v>Limitado</v>
          </cell>
        </row>
        <row r="1098">
          <cell r="D1098" t="str">
            <v>AmazonasPuerto Arica (CD)</v>
          </cell>
          <cell r="E1098" t="str">
            <v>Limitado</v>
          </cell>
        </row>
        <row r="1099">
          <cell r="D1099" t="str">
            <v>AmazonasPuerto Nariño</v>
          </cell>
          <cell r="E1099" t="str">
            <v>Limitado</v>
          </cell>
        </row>
        <row r="1100">
          <cell r="D1100" t="str">
            <v>AmazonasPuerto Santander (CD)</v>
          </cell>
          <cell r="E1100" t="str">
            <v>Limitado</v>
          </cell>
        </row>
        <row r="1101">
          <cell r="D1101" t="str">
            <v>AmazonasTarapacá (CD)</v>
          </cell>
          <cell r="E1101" t="str">
            <v>Limitado</v>
          </cell>
        </row>
        <row r="1102">
          <cell r="D1102" t="str">
            <v>GuainíaInírida</v>
          </cell>
          <cell r="E1102" t="str">
            <v>Limitado</v>
          </cell>
        </row>
        <row r="1103">
          <cell r="D1103" t="str">
            <v>GuainíaBarrancominas</v>
          </cell>
          <cell r="E1103" t="str">
            <v>Limitado</v>
          </cell>
        </row>
        <row r="1104">
          <cell r="D1104" t="str">
            <v>GuainíaSan Felipe (CD)</v>
          </cell>
          <cell r="E1104" t="str">
            <v>Limitado</v>
          </cell>
        </row>
        <row r="1105">
          <cell r="D1105" t="str">
            <v>GuainíaPuerto Colombia (CD)</v>
          </cell>
          <cell r="E1105" t="str">
            <v>Limitado</v>
          </cell>
        </row>
        <row r="1106">
          <cell r="D1106" t="str">
            <v>GuainíaLa Guadalupe (CD)</v>
          </cell>
          <cell r="E1106" t="str">
            <v>Limitado</v>
          </cell>
        </row>
        <row r="1107">
          <cell r="D1107" t="str">
            <v>GuainíaCacahual (CD)</v>
          </cell>
          <cell r="E1107" t="str">
            <v>Limitado</v>
          </cell>
        </row>
        <row r="1108">
          <cell r="D1108" t="str">
            <v>GuainíaPana Pana (CD)</v>
          </cell>
          <cell r="E1108" t="str">
            <v>Limitado</v>
          </cell>
        </row>
        <row r="1109">
          <cell r="D1109" t="str">
            <v>GuainíaMorichal (CD)</v>
          </cell>
          <cell r="E1109" t="str">
            <v>Limitado</v>
          </cell>
        </row>
        <row r="1110">
          <cell r="D1110" t="str">
            <v>GuaviareSan José del Guaviare</v>
          </cell>
          <cell r="E1110" t="str">
            <v>Bajo</v>
          </cell>
        </row>
        <row r="1111">
          <cell r="D1111" t="str">
            <v>GuaviareCalamar</v>
          </cell>
          <cell r="E1111" t="str">
            <v>Limitado</v>
          </cell>
        </row>
        <row r="1112">
          <cell r="D1112" t="str">
            <v>GuaviareEl Retorno</v>
          </cell>
          <cell r="E1112" t="str">
            <v>Limitado</v>
          </cell>
        </row>
        <row r="1113">
          <cell r="D1113" t="str">
            <v>GuaviareMiraflores</v>
          </cell>
          <cell r="E1113" t="str">
            <v>Limitado</v>
          </cell>
        </row>
        <row r="1114">
          <cell r="D1114" t="str">
            <v>VaupésMitú</v>
          </cell>
          <cell r="E1114" t="str">
            <v>Limitado</v>
          </cell>
        </row>
        <row r="1115">
          <cell r="D1115" t="str">
            <v>VaupésCarurú</v>
          </cell>
          <cell r="E1115" t="str">
            <v>Limitado</v>
          </cell>
        </row>
        <row r="1116">
          <cell r="D1116" t="str">
            <v>VaupésPacoa (CD)</v>
          </cell>
          <cell r="E1116" t="str">
            <v>Limitado</v>
          </cell>
        </row>
        <row r="1117">
          <cell r="D1117" t="str">
            <v>VaupésTaraira</v>
          </cell>
          <cell r="E1117" t="str">
            <v>Limitado</v>
          </cell>
        </row>
        <row r="1118">
          <cell r="D1118" t="str">
            <v>VaupésPapunahua (CD)</v>
          </cell>
          <cell r="E1118" t="str">
            <v>Limitado</v>
          </cell>
        </row>
        <row r="1119">
          <cell r="D1119" t="str">
            <v>VaupésYavaraté (CD)</v>
          </cell>
          <cell r="E1119" t="str">
            <v>Limitado</v>
          </cell>
        </row>
        <row r="1120">
          <cell r="D1120" t="str">
            <v>VichadaPuerto Carreño</v>
          </cell>
          <cell r="E1120" t="str">
            <v>Bajo</v>
          </cell>
        </row>
        <row r="1121">
          <cell r="D1121" t="str">
            <v>VichadaLa Primavera</v>
          </cell>
          <cell r="E1121" t="str">
            <v>Limitado</v>
          </cell>
        </row>
        <row r="1122">
          <cell r="D1122" t="str">
            <v>VichadaSanta Rosalía</v>
          </cell>
          <cell r="E1122" t="str">
            <v>Limitado</v>
          </cell>
        </row>
        <row r="1123">
          <cell r="D1123" t="str">
            <v>VichadaCumaribo</v>
          </cell>
          <cell r="E1123" t="str">
            <v>Limitado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USTER_MUNICIPIOS"/>
      <sheetName val="INF_ELECTRICA_7"/>
      <sheetName val="INF_TELCO_7"/>
      <sheetName val="CLUSTER_MUNICIPIOS tarifas"/>
    </sheetNames>
    <sheetDataSet>
      <sheetData sheetId="0"/>
      <sheetData sheetId="1"/>
      <sheetData sheetId="2"/>
      <sheetData sheetId="3">
        <row r="2">
          <cell r="D2" t="str">
            <v>DepartamentoMunicipio</v>
          </cell>
          <cell r="E2" t="str">
            <v>Clasificación por desempeño</v>
          </cell>
          <cell r="F2" t="str">
            <v>Código municipio</v>
          </cell>
        </row>
        <row r="3">
          <cell r="D3" t="str">
            <v>AntioquiaMedellin</v>
          </cell>
          <cell r="E3" t="str">
            <v>Alto</v>
          </cell>
          <cell r="F3">
            <v>5001</v>
          </cell>
        </row>
        <row r="4">
          <cell r="D4" t="str">
            <v>AntioquiaAbejorral</v>
          </cell>
          <cell r="E4" t="str">
            <v>Incipiente</v>
          </cell>
          <cell r="F4">
            <v>5002</v>
          </cell>
        </row>
        <row r="5">
          <cell r="D5" t="str">
            <v>AntioquiaAbriaquí</v>
          </cell>
          <cell r="E5" t="str">
            <v>Bajo</v>
          </cell>
          <cell r="F5">
            <v>5004</v>
          </cell>
        </row>
        <row r="6">
          <cell r="D6" t="str">
            <v>AntioquiaAlejandría</v>
          </cell>
          <cell r="E6" t="str">
            <v>Limitado</v>
          </cell>
          <cell r="F6">
            <v>5021</v>
          </cell>
        </row>
        <row r="7">
          <cell r="D7" t="str">
            <v>AntioquiaAmagá</v>
          </cell>
          <cell r="E7" t="str">
            <v>Incipiente</v>
          </cell>
          <cell r="F7">
            <v>5030</v>
          </cell>
        </row>
        <row r="8">
          <cell r="D8" t="str">
            <v>AntioquiaAmalfi</v>
          </cell>
          <cell r="E8" t="str">
            <v>Limitado</v>
          </cell>
          <cell r="F8">
            <v>5031</v>
          </cell>
        </row>
        <row r="9">
          <cell r="D9" t="str">
            <v>AntioquiaAndes</v>
          </cell>
          <cell r="E9" t="str">
            <v>Bajo</v>
          </cell>
          <cell r="F9">
            <v>5034</v>
          </cell>
        </row>
        <row r="10">
          <cell r="D10" t="str">
            <v>AntioquiaAngelópolis</v>
          </cell>
          <cell r="E10" t="str">
            <v>Bajo</v>
          </cell>
          <cell r="F10">
            <v>5036</v>
          </cell>
        </row>
        <row r="11">
          <cell r="D11" t="str">
            <v>AntioquiaAngostura</v>
          </cell>
          <cell r="E11" t="str">
            <v>Limitado</v>
          </cell>
          <cell r="F11">
            <v>5038</v>
          </cell>
        </row>
        <row r="12">
          <cell r="D12" t="str">
            <v>AntioquiaAnorí</v>
          </cell>
          <cell r="E12" t="str">
            <v>Limitado</v>
          </cell>
          <cell r="F12">
            <v>5040</v>
          </cell>
        </row>
        <row r="13">
          <cell r="D13" t="str">
            <v>AntioquiaSantafé de Antioquia</v>
          </cell>
          <cell r="E13" t="str">
            <v>Incipiente</v>
          </cell>
          <cell r="F13">
            <v>5042</v>
          </cell>
        </row>
        <row r="14">
          <cell r="D14" t="str">
            <v>AntioquiaAnzá</v>
          </cell>
          <cell r="E14" t="str">
            <v>Limitado</v>
          </cell>
          <cell r="F14">
            <v>5044</v>
          </cell>
        </row>
        <row r="15">
          <cell r="D15" t="str">
            <v>AntioquiaApartadó</v>
          </cell>
          <cell r="E15" t="str">
            <v>Moderado</v>
          </cell>
          <cell r="F15">
            <v>5045</v>
          </cell>
        </row>
        <row r="16">
          <cell r="D16" t="str">
            <v>AntioquiaArboletes</v>
          </cell>
          <cell r="E16" t="str">
            <v>Bajo</v>
          </cell>
          <cell r="F16">
            <v>5051</v>
          </cell>
        </row>
        <row r="17">
          <cell r="D17" t="str">
            <v>AntioquiaArgelia</v>
          </cell>
          <cell r="E17" t="str">
            <v>Limitado</v>
          </cell>
          <cell r="F17">
            <v>5055</v>
          </cell>
        </row>
        <row r="18">
          <cell r="D18" t="str">
            <v>AntioquiaArmenia</v>
          </cell>
          <cell r="E18" t="str">
            <v>Incipiente</v>
          </cell>
          <cell r="F18">
            <v>5059</v>
          </cell>
        </row>
        <row r="19">
          <cell r="D19" t="str">
            <v>AntioquiaBarbosa</v>
          </cell>
          <cell r="E19" t="str">
            <v>Incipiente</v>
          </cell>
          <cell r="F19">
            <v>5079</v>
          </cell>
        </row>
        <row r="20">
          <cell r="D20" t="str">
            <v>AntioquiaBelmira</v>
          </cell>
          <cell r="E20" t="str">
            <v>Bajo</v>
          </cell>
          <cell r="F20">
            <v>5086</v>
          </cell>
        </row>
        <row r="21">
          <cell r="D21" t="str">
            <v>AntioquiaBello</v>
          </cell>
          <cell r="E21" t="str">
            <v>Alto</v>
          </cell>
          <cell r="F21">
            <v>5088</v>
          </cell>
        </row>
        <row r="22">
          <cell r="D22" t="str">
            <v>AntioquiaBetania</v>
          </cell>
          <cell r="E22" t="str">
            <v>Bajo</v>
          </cell>
          <cell r="F22">
            <v>5091</v>
          </cell>
        </row>
        <row r="23">
          <cell r="D23" t="str">
            <v>AntioquiaBetulia</v>
          </cell>
          <cell r="E23" t="str">
            <v>Bajo</v>
          </cell>
          <cell r="F23">
            <v>5093</v>
          </cell>
        </row>
        <row r="24">
          <cell r="D24" t="str">
            <v>AntioquiaCiudad Bolívar</v>
          </cell>
          <cell r="E24" t="str">
            <v>Incipiente</v>
          </cell>
          <cell r="F24">
            <v>5101</v>
          </cell>
        </row>
        <row r="25">
          <cell r="D25" t="str">
            <v>AntioquiaBriceño</v>
          </cell>
          <cell r="E25" t="str">
            <v>Limitado</v>
          </cell>
          <cell r="F25">
            <v>5107</v>
          </cell>
        </row>
        <row r="26">
          <cell r="D26" t="str">
            <v>AntioquiaBuriticá</v>
          </cell>
          <cell r="E26" t="str">
            <v>Bajo</v>
          </cell>
          <cell r="F26">
            <v>5113</v>
          </cell>
        </row>
        <row r="27">
          <cell r="D27" t="str">
            <v>AntioquiaCáceres</v>
          </cell>
          <cell r="E27" t="str">
            <v>Limitado</v>
          </cell>
          <cell r="F27">
            <v>5120</v>
          </cell>
        </row>
        <row r="28">
          <cell r="D28" t="str">
            <v>AntioquiaCaicedo</v>
          </cell>
          <cell r="E28" t="str">
            <v>Limitado</v>
          </cell>
          <cell r="F28">
            <v>5125</v>
          </cell>
        </row>
        <row r="29">
          <cell r="D29" t="str">
            <v>AntioquiaCaldas</v>
          </cell>
          <cell r="E29" t="str">
            <v>Moderado</v>
          </cell>
          <cell r="F29">
            <v>5129</v>
          </cell>
        </row>
        <row r="30">
          <cell r="D30" t="str">
            <v>AntioquiaCampamento</v>
          </cell>
          <cell r="E30" t="str">
            <v>Bajo</v>
          </cell>
          <cell r="F30">
            <v>5134</v>
          </cell>
        </row>
        <row r="31">
          <cell r="D31" t="str">
            <v>AntioquiaCañasgordas</v>
          </cell>
          <cell r="E31" t="str">
            <v>Limitado</v>
          </cell>
          <cell r="F31">
            <v>5138</v>
          </cell>
        </row>
        <row r="32">
          <cell r="D32" t="str">
            <v>AntioquiaCaracolí</v>
          </cell>
          <cell r="E32" t="str">
            <v>Bajo</v>
          </cell>
          <cell r="F32">
            <v>5142</v>
          </cell>
        </row>
        <row r="33">
          <cell r="D33" t="str">
            <v>AntioquiaCaramanta</v>
          </cell>
          <cell r="E33" t="str">
            <v>Bajo</v>
          </cell>
          <cell r="F33">
            <v>5145</v>
          </cell>
        </row>
        <row r="34">
          <cell r="D34" t="str">
            <v>AntioquiaCarepa</v>
          </cell>
          <cell r="E34" t="str">
            <v>Moderado</v>
          </cell>
          <cell r="F34">
            <v>5147</v>
          </cell>
        </row>
        <row r="35">
          <cell r="D35" t="str">
            <v>AntioquiaEl Carmen de Viboral</v>
          </cell>
          <cell r="E35" t="str">
            <v>Incipiente</v>
          </cell>
          <cell r="F35">
            <v>5148</v>
          </cell>
        </row>
        <row r="36">
          <cell r="D36" t="str">
            <v>AntioquiaCarolina</v>
          </cell>
          <cell r="E36" t="str">
            <v>Incipiente</v>
          </cell>
          <cell r="F36">
            <v>5150</v>
          </cell>
        </row>
        <row r="37">
          <cell r="D37" t="str">
            <v>AntioquiaCaucasia</v>
          </cell>
          <cell r="E37" t="str">
            <v>Moderado</v>
          </cell>
          <cell r="F37">
            <v>5154</v>
          </cell>
        </row>
        <row r="38">
          <cell r="D38" t="str">
            <v>AntioquiaChigorodó</v>
          </cell>
          <cell r="E38" t="str">
            <v>Incipiente</v>
          </cell>
          <cell r="F38">
            <v>5172</v>
          </cell>
        </row>
        <row r="39">
          <cell r="D39" t="str">
            <v>AntioquiaCisneros</v>
          </cell>
          <cell r="E39" t="str">
            <v>Incipiente</v>
          </cell>
          <cell r="F39">
            <v>5190</v>
          </cell>
        </row>
        <row r="40">
          <cell r="D40" t="str">
            <v>AntioquiaCocorná</v>
          </cell>
          <cell r="E40" t="str">
            <v>Bajo</v>
          </cell>
          <cell r="F40">
            <v>5197</v>
          </cell>
        </row>
        <row r="41">
          <cell r="D41" t="str">
            <v>AntioquiaConcepción</v>
          </cell>
          <cell r="E41" t="str">
            <v>Limitado</v>
          </cell>
          <cell r="F41">
            <v>5206</v>
          </cell>
        </row>
        <row r="42">
          <cell r="D42" t="str">
            <v>AntioquiaConcordia</v>
          </cell>
          <cell r="E42" t="str">
            <v>Bajo</v>
          </cell>
          <cell r="F42">
            <v>5209</v>
          </cell>
        </row>
        <row r="43">
          <cell r="D43" t="str">
            <v>AntioquiaCopacabana</v>
          </cell>
          <cell r="E43" t="str">
            <v>Moderado</v>
          </cell>
          <cell r="F43">
            <v>5212</v>
          </cell>
        </row>
        <row r="44">
          <cell r="D44" t="str">
            <v>AntioquiaDabeiba</v>
          </cell>
          <cell r="E44" t="str">
            <v>Limitado</v>
          </cell>
          <cell r="F44">
            <v>5234</v>
          </cell>
        </row>
        <row r="45">
          <cell r="D45" t="str">
            <v>AntioquiaDonmatías</v>
          </cell>
          <cell r="E45" t="str">
            <v>Incipiente</v>
          </cell>
          <cell r="F45">
            <v>5237</v>
          </cell>
        </row>
        <row r="46">
          <cell r="D46" t="str">
            <v>AntioquiaEbéjico</v>
          </cell>
          <cell r="E46" t="str">
            <v>Bajo</v>
          </cell>
          <cell r="F46">
            <v>5240</v>
          </cell>
        </row>
        <row r="47">
          <cell r="D47" t="str">
            <v>AntioquiaEl Bagre</v>
          </cell>
          <cell r="E47" t="str">
            <v>Bajo</v>
          </cell>
          <cell r="F47">
            <v>5250</v>
          </cell>
        </row>
        <row r="48">
          <cell r="D48" t="str">
            <v>AntioquiaEntrerríos</v>
          </cell>
          <cell r="E48" t="str">
            <v>Incipiente</v>
          </cell>
          <cell r="F48">
            <v>5264</v>
          </cell>
        </row>
        <row r="49">
          <cell r="D49" t="str">
            <v>AntioquiaEnvigado</v>
          </cell>
          <cell r="E49" t="str">
            <v>Alto</v>
          </cell>
          <cell r="F49">
            <v>5266</v>
          </cell>
        </row>
        <row r="50">
          <cell r="D50" t="str">
            <v>AntioquiaFredonia</v>
          </cell>
          <cell r="E50" t="str">
            <v>Incipiente</v>
          </cell>
          <cell r="F50">
            <v>5282</v>
          </cell>
        </row>
        <row r="51">
          <cell r="D51" t="str">
            <v>AntioquiaFrontino</v>
          </cell>
          <cell r="E51" t="str">
            <v>Bajo</v>
          </cell>
          <cell r="F51">
            <v>5284</v>
          </cell>
        </row>
        <row r="52">
          <cell r="D52" t="str">
            <v>AntioquiaGiraldo</v>
          </cell>
          <cell r="E52" t="str">
            <v>Limitado</v>
          </cell>
          <cell r="F52">
            <v>5306</v>
          </cell>
        </row>
        <row r="53">
          <cell r="D53" t="str">
            <v>AntioquiaGirardota</v>
          </cell>
          <cell r="E53" t="str">
            <v>Moderado</v>
          </cell>
          <cell r="F53">
            <v>5308</v>
          </cell>
        </row>
        <row r="54">
          <cell r="D54" t="str">
            <v>AntioquiaGómez Plata</v>
          </cell>
          <cell r="E54" t="str">
            <v>Incipiente</v>
          </cell>
          <cell r="F54">
            <v>5310</v>
          </cell>
        </row>
        <row r="55">
          <cell r="D55" t="str">
            <v>AntioquiaGranada</v>
          </cell>
          <cell r="E55" t="str">
            <v>Bajo</v>
          </cell>
          <cell r="F55">
            <v>5313</v>
          </cell>
        </row>
        <row r="56">
          <cell r="D56" t="str">
            <v>AntioquiaGuadalupe</v>
          </cell>
          <cell r="E56" t="str">
            <v>Limitado</v>
          </cell>
          <cell r="F56">
            <v>5315</v>
          </cell>
        </row>
        <row r="57">
          <cell r="D57" t="str">
            <v>AntioquiaGuarne</v>
          </cell>
          <cell r="E57" t="str">
            <v>Incipiente</v>
          </cell>
          <cell r="F57">
            <v>5318</v>
          </cell>
        </row>
        <row r="58">
          <cell r="D58" t="str">
            <v>AntioquiaGuatapé</v>
          </cell>
          <cell r="E58" t="str">
            <v>Incipiente</v>
          </cell>
          <cell r="F58">
            <v>5321</v>
          </cell>
        </row>
        <row r="59">
          <cell r="D59" t="str">
            <v>AntioquiaHeliconia</v>
          </cell>
          <cell r="E59" t="str">
            <v>Bajo</v>
          </cell>
          <cell r="F59">
            <v>5347</v>
          </cell>
        </row>
        <row r="60">
          <cell r="D60" t="str">
            <v>AntioquiaHispania</v>
          </cell>
          <cell r="E60" t="str">
            <v>Bajo</v>
          </cell>
          <cell r="F60">
            <v>5353</v>
          </cell>
        </row>
        <row r="61">
          <cell r="D61" t="str">
            <v>AntioquiaItagui</v>
          </cell>
          <cell r="E61" t="str">
            <v>Alto</v>
          </cell>
          <cell r="F61">
            <v>5360</v>
          </cell>
        </row>
        <row r="62">
          <cell r="D62" t="str">
            <v>AntioquiaItuango</v>
          </cell>
          <cell r="E62" t="str">
            <v>Bajo</v>
          </cell>
          <cell r="F62">
            <v>5361</v>
          </cell>
        </row>
        <row r="63">
          <cell r="D63" t="str">
            <v>AntioquiaJardín</v>
          </cell>
          <cell r="E63" t="str">
            <v>Bajo</v>
          </cell>
          <cell r="F63">
            <v>5364</v>
          </cell>
        </row>
        <row r="64">
          <cell r="D64" t="str">
            <v>AntioquiaJericó</v>
          </cell>
          <cell r="E64" t="str">
            <v>Incipiente</v>
          </cell>
          <cell r="F64">
            <v>5368</v>
          </cell>
        </row>
        <row r="65">
          <cell r="D65" t="str">
            <v>AntioquiaLa Ceja</v>
          </cell>
          <cell r="E65" t="str">
            <v>Moderado</v>
          </cell>
          <cell r="F65">
            <v>5376</v>
          </cell>
        </row>
        <row r="66">
          <cell r="D66" t="str">
            <v>AntioquiaLa Estrella</v>
          </cell>
          <cell r="E66" t="str">
            <v>Moderado</v>
          </cell>
          <cell r="F66">
            <v>5380</v>
          </cell>
        </row>
        <row r="67">
          <cell r="D67" t="str">
            <v>AntioquiaLa Pintada</v>
          </cell>
          <cell r="E67" t="str">
            <v>Incipiente</v>
          </cell>
          <cell r="F67">
            <v>5390</v>
          </cell>
        </row>
        <row r="68">
          <cell r="D68" t="str">
            <v>AntioquiaLa Unión</v>
          </cell>
          <cell r="E68" t="str">
            <v>Incipiente</v>
          </cell>
          <cell r="F68">
            <v>5400</v>
          </cell>
        </row>
        <row r="69">
          <cell r="D69" t="str">
            <v>AntioquiaLiborina</v>
          </cell>
          <cell r="E69" t="str">
            <v>Limitado</v>
          </cell>
          <cell r="F69">
            <v>5411</v>
          </cell>
        </row>
        <row r="70">
          <cell r="D70" t="str">
            <v>AntioquiaMaceo</v>
          </cell>
          <cell r="E70" t="str">
            <v>Incipiente</v>
          </cell>
          <cell r="F70">
            <v>5425</v>
          </cell>
        </row>
        <row r="71">
          <cell r="D71" t="str">
            <v>AntioquiaMarinilla</v>
          </cell>
          <cell r="E71" t="str">
            <v>Moderado</v>
          </cell>
          <cell r="F71">
            <v>5440</v>
          </cell>
        </row>
        <row r="72">
          <cell r="D72" t="str">
            <v>AntioquiaMontebello</v>
          </cell>
          <cell r="E72" t="str">
            <v>Bajo</v>
          </cell>
          <cell r="F72">
            <v>5467</v>
          </cell>
        </row>
        <row r="73">
          <cell r="D73" t="str">
            <v>AntioquiaMurindó</v>
          </cell>
          <cell r="E73" t="str">
            <v>Limitado</v>
          </cell>
          <cell r="F73">
            <v>5475</v>
          </cell>
        </row>
        <row r="74">
          <cell r="D74" t="str">
            <v>AntioquiaMutatá</v>
          </cell>
          <cell r="E74" t="str">
            <v>Bajo</v>
          </cell>
          <cell r="F74">
            <v>5480</v>
          </cell>
        </row>
        <row r="75">
          <cell r="D75" t="str">
            <v>AntioquiaNariño</v>
          </cell>
          <cell r="E75" t="str">
            <v>Limitado</v>
          </cell>
          <cell r="F75">
            <v>5483</v>
          </cell>
        </row>
        <row r="76">
          <cell r="D76" t="str">
            <v>AntioquiaNecoclí</v>
          </cell>
          <cell r="E76" t="str">
            <v>Bajo</v>
          </cell>
          <cell r="F76">
            <v>5490</v>
          </cell>
        </row>
        <row r="77">
          <cell r="D77" t="str">
            <v>AntioquiaNechí</v>
          </cell>
          <cell r="E77" t="str">
            <v>Limitado</v>
          </cell>
          <cell r="F77">
            <v>5495</v>
          </cell>
        </row>
        <row r="78">
          <cell r="D78" t="str">
            <v>AntioquiaOlaya</v>
          </cell>
          <cell r="E78" t="str">
            <v>Limitado</v>
          </cell>
          <cell r="F78">
            <v>5501</v>
          </cell>
        </row>
        <row r="79">
          <cell r="D79" t="str">
            <v>AntioquiaPeñol</v>
          </cell>
          <cell r="E79" t="str">
            <v>Incipiente</v>
          </cell>
          <cell r="F79">
            <v>5541</v>
          </cell>
        </row>
        <row r="80">
          <cell r="D80" t="str">
            <v>AntioquiaPeque</v>
          </cell>
          <cell r="E80" t="str">
            <v>Limitado</v>
          </cell>
          <cell r="F80">
            <v>5543</v>
          </cell>
        </row>
        <row r="81">
          <cell r="D81" t="str">
            <v>AntioquiaPueblorrico</v>
          </cell>
          <cell r="E81" t="str">
            <v>Bajo</v>
          </cell>
          <cell r="F81">
            <v>5576</v>
          </cell>
        </row>
        <row r="82">
          <cell r="D82" t="str">
            <v>AntioquiaPuerto Berrío</v>
          </cell>
          <cell r="E82" t="str">
            <v>Incipiente</v>
          </cell>
          <cell r="F82">
            <v>5579</v>
          </cell>
        </row>
        <row r="83">
          <cell r="D83" t="str">
            <v>AntioquiaPuerto Nare</v>
          </cell>
          <cell r="E83" t="str">
            <v>Bajo</v>
          </cell>
          <cell r="F83">
            <v>5585</v>
          </cell>
        </row>
        <row r="84">
          <cell r="D84" t="str">
            <v>AntioquiaPuerto Triunfo</v>
          </cell>
          <cell r="E84" t="str">
            <v>Bajo</v>
          </cell>
          <cell r="F84">
            <v>5591</v>
          </cell>
        </row>
        <row r="85">
          <cell r="D85" t="str">
            <v>AntioquiaRemedios</v>
          </cell>
          <cell r="E85" t="str">
            <v>Bajo</v>
          </cell>
          <cell r="F85">
            <v>5604</v>
          </cell>
        </row>
        <row r="86">
          <cell r="D86" t="str">
            <v>AntioquiaRetiro</v>
          </cell>
          <cell r="E86" t="str">
            <v>Moderado</v>
          </cell>
          <cell r="F86">
            <v>5607</v>
          </cell>
        </row>
        <row r="87">
          <cell r="D87" t="str">
            <v>AntioquiaRionegro</v>
          </cell>
          <cell r="E87" t="str">
            <v>Moderado</v>
          </cell>
          <cell r="F87">
            <v>5615</v>
          </cell>
        </row>
        <row r="88">
          <cell r="D88" t="str">
            <v>AntioquiaSabanalarga</v>
          </cell>
          <cell r="E88" t="str">
            <v>Limitado</v>
          </cell>
          <cell r="F88">
            <v>5628</v>
          </cell>
        </row>
        <row r="89">
          <cell r="D89" t="str">
            <v>AntioquiaSabaneta</v>
          </cell>
          <cell r="E89" t="str">
            <v>Alto</v>
          </cell>
          <cell r="F89">
            <v>5631</v>
          </cell>
        </row>
        <row r="90">
          <cell r="D90" t="str">
            <v>AntioquiaSalgar</v>
          </cell>
          <cell r="E90" t="str">
            <v>Limitado</v>
          </cell>
          <cell r="F90">
            <v>5642</v>
          </cell>
        </row>
        <row r="91">
          <cell r="D91" t="str">
            <v>AntioquiaSan Andrés de Cuerquía</v>
          </cell>
          <cell r="E91" t="str">
            <v>Bajo</v>
          </cell>
          <cell r="F91">
            <v>5647</v>
          </cell>
        </row>
        <row r="92">
          <cell r="D92" t="str">
            <v>AntioquiaSan Carlos</v>
          </cell>
          <cell r="E92" t="str">
            <v>Incipiente</v>
          </cell>
          <cell r="F92">
            <v>5649</v>
          </cell>
        </row>
        <row r="93">
          <cell r="D93" t="str">
            <v>AntioquiaSan Francisco</v>
          </cell>
          <cell r="E93" t="str">
            <v>Limitado</v>
          </cell>
          <cell r="F93">
            <v>5652</v>
          </cell>
        </row>
        <row r="94">
          <cell r="D94" t="str">
            <v>AntioquiaSan Jerónimo</v>
          </cell>
          <cell r="E94" t="str">
            <v>Incipiente</v>
          </cell>
          <cell r="F94">
            <v>5656</v>
          </cell>
        </row>
        <row r="95">
          <cell r="D95" t="str">
            <v>AntioquiaSan José de La Montaña</v>
          </cell>
          <cell r="E95" t="str">
            <v>Incipiente</v>
          </cell>
          <cell r="F95">
            <v>5658</v>
          </cell>
        </row>
        <row r="96">
          <cell r="D96" t="str">
            <v>AntioquiaSan Juan de Urabá</v>
          </cell>
          <cell r="E96" t="str">
            <v>Bajo</v>
          </cell>
          <cell r="F96">
            <v>5659</v>
          </cell>
        </row>
        <row r="97">
          <cell r="D97" t="str">
            <v>AntioquiaSan Luis</v>
          </cell>
          <cell r="E97" t="str">
            <v>Bajo</v>
          </cell>
          <cell r="F97">
            <v>5660</v>
          </cell>
        </row>
        <row r="98">
          <cell r="D98" t="str">
            <v>AntioquiaSan Pedro de Los Milagros</v>
          </cell>
          <cell r="E98" t="str">
            <v>Incipiente</v>
          </cell>
          <cell r="F98">
            <v>5664</v>
          </cell>
        </row>
        <row r="99">
          <cell r="D99" t="str">
            <v>AntioquiaSan Pedro de Urabá</v>
          </cell>
          <cell r="E99" t="str">
            <v>Bajo</v>
          </cell>
          <cell r="F99">
            <v>5665</v>
          </cell>
        </row>
        <row r="100">
          <cell r="D100" t="str">
            <v>AntioquiaSan Rafael</v>
          </cell>
          <cell r="E100" t="str">
            <v>Bajo</v>
          </cell>
          <cell r="F100">
            <v>5667</v>
          </cell>
        </row>
        <row r="101">
          <cell r="D101" t="str">
            <v>AntioquiaSan Roque</v>
          </cell>
          <cell r="E101" t="str">
            <v>Bajo</v>
          </cell>
          <cell r="F101">
            <v>5670</v>
          </cell>
        </row>
        <row r="102">
          <cell r="D102" t="str">
            <v>AntioquiaSan Vicente</v>
          </cell>
          <cell r="E102" t="str">
            <v>Bajo</v>
          </cell>
          <cell r="F102">
            <v>5674</v>
          </cell>
        </row>
        <row r="103">
          <cell r="D103" t="str">
            <v>AntioquiaSanta Bárbara</v>
          </cell>
          <cell r="E103" t="str">
            <v>Incipiente</v>
          </cell>
          <cell r="F103">
            <v>5679</v>
          </cell>
        </row>
        <row r="104">
          <cell r="D104" t="str">
            <v>AntioquiaSanta Rosa de Osos</v>
          </cell>
          <cell r="E104" t="str">
            <v>Incipiente</v>
          </cell>
          <cell r="F104">
            <v>5686</v>
          </cell>
        </row>
        <row r="105">
          <cell r="D105" t="str">
            <v>AntioquiaSanto Domingo</v>
          </cell>
          <cell r="E105" t="str">
            <v>Bajo</v>
          </cell>
          <cell r="F105">
            <v>5690</v>
          </cell>
        </row>
        <row r="106">
          <cell r="D106" t="str">
            <v>AntioquiaEl Santuario</v>
          </cell>
          <cell r="E106" t="str">
            <v>Incipiente</v>
          </cell>
          <cell r="F106">
            <v>5697</v>
          </cell>
        </row>
        <row r="107">
          <cell r="D107" t="str">
            <v>AntioquiaSegovia</v>
          </cell>
          <cell r="E107" t="str">
            <v>Incipiente</v>
          </cell>
          <cell r="F107">
            <v>5736</v>
          </cell>
        </row>
        <row r="108">
          <cell r="D108" t="str">
            <v>AntioquiaSonsón</v>
          </cell>
          <cell r="E108" t="str">
            <v>Bajo</v>
          </cell>
          <cell r="F108">
            <v>5756</v>
          </cell>
        </row>
        <row r="109">
          <cell r="D109" t="str">
            <v>AntioquiaSopetrán</v>
          </cell>
          <cell r="E109" t="str">
            <v>Incipiente</v>
          </cell>
          <cell r="F109">
            <v>5761</v>
          </cell>
        </row>
        <row r="110">
          <cell r="D110" t="str">
            <v>AntioquiaTámesis</v>
          </cell>
          <cell r="E110" t="str">
            <v>Bajo</v>
          </cell>
          <cell r="F110">
            <v>5789</v>
          </cell>
        </row>
        <row r="111">
          <cell r="D111" t="str">
            <v>AntioquiaTarazá</v>
          </cell>
          <cell r="E111" t="str">
            <v>Bajo</v>
          </cell>
          <cell r="F111">
            <v>5790</v>
          </cell>
        </row>
        <row r="112">
          <cell r="D112" t="str">
            <v>AntioquiaTarso</v>
          </cell>
          <cell r="E112" t="str">
            <v>Incipiente</v>
          </cell>
          <cell r="F112">
            <v>5792</v>
          </cell>
        </row>
        <row r="113">
          <cell r="D113" t="str">
            <v>AntioquiaTitiribí</v>
          </cell>
          <cell r="E113" t="str">
            <v>Incipiente</v>
          </cell>
          <cell r="F113">
            <v>5809</v>
          </cell>
        </row>
        <row r="114">
          <cell r="D114" t="str">
            <v>AntioquiaToledo</v>
          </cell>
          <cell r="E114" t="str">
            <v>Limitado</v>
          </cell>
          <cell r="F114">
            <v>5819</v>
          </cell>
        </row>
        <row r="115">
          <cell r="D115" t="str">
            <v>AntioquiaTurbo</v>
          </cell>
          <cell r="E115" t="str">
            <v>Incipiente</v>
          </cell>
          <cell r="F115">
            <v>5837</v>
          </cell>
        </row>
        <row r="116">
          <cell r="D116" t="str">
            <v>AntioquiaUramita</v>
          </cell>
          <cell r="E116" t="str">
            <v>Limitado</v>
          </cell>
          <cell r="F116">
            <v>5842</v>
          </cell>
        </row>
        <row r="117">
          <cell r="D117" t="str">
            <v>AntioquiaUrrao</v>
          </cell>
          <cell r="E117" t="str">
            <v>Bajo</v>
          </cell>
          <cell r="F117">
            <v>5847</v>
          </cell>
        </row>
        <row r="118">
          <cell r="D118" t="str">
            <v>AntioquiaValdivia</v>
          </cell>
          <cell r="E118" t="str">
            <v>Bajo</v>
          </cell>
          <cell r="F118">
            <v>5854</v>
          </cell>
        </row>
        <row r="119">
          <cell r="D119" t="str">
            <v>AntioquiaValparaíso</v>
          </cell>
          <cell r="E119" t="str">
            <v>Incipiente</v>
          </cell>
          <cell r="F119">
            <v>5856</v>
          </cell>
        </row>
        <row r="120">
          <cell r="D120" t="str">
            <v>AntioquiaVegachí</v>
          </cell>
          <cell r="E120" t="str">
            <v>Incipiente</v>
          </cell>
          <cell r="F120">
            <v>5858</v>
          </cell>
        </row>
        <row r="121">
          <cell r="D121" t="str">
            <v>AntioquiaVenecia</v>
          </cell>
          <cell r="E121" t="str">
            <v>Incipiente</v>
          </cell>
          <cell r="F121">
            <v>5861</v>
          </cell>
        </row>
        <row r="122">
          <cell r="D122" t="str">
            <v>AntioquiaVigía del Fuerte</v>
          </cell>
          <cell r="E122" t="str">
            <v>Limitado</v>
          </cell>
          <cell r="F122">
            <v>5873</v>
          </cell>
        </row>
        <row r="123">
          <cell r="D123" t="str">
            <v>AntioquiaYalí</v>
          </cell>
          <cell r="E123" t="str">
            <v>Bajo</v>
          </cell>
          <cell r="F123">
            <v>5885</v>
          </cell>
        </row>
        <row r="124">
          <cell r="D124" t="str">
            <v>AntioquiaYarumal</v>
          </cell>
          <cell r="E124" t="str">
            <v>Incipiente</v>
          </cell>
          <cell r="F124">
            <v>5887</v>
          </cell>
        </row>
        <row r="125">
          <cell r="D125" t="str">
            <v>AntioquiaYolombó</v>
          </cell>
          <cell r="E125" t="str">
            <v>Bajo</v>
          </cell>
          <cell r="F125">
            <v>5890</v>
          </cell>
        </row>
        <row r="126">
          <cell r="D126" t="str">
            <v>AntioquiaYondó</v>
          </cell>
          <cell r="E126" t="str">
            <v>Bajo</v>
          </cell>
          <cell r="F126">
            <v>5893</v>
          </cell>
        </row>
        <row r="127">
          <cell r="D127" t="str">
            <v>AntioquiaZaragoza</v>
          </cell>
          <cell r="E127" t="str">
            <v>Bajo</v>
          </cell>
          <cell r="F127">
            <v>5895</v>
          </cell>
        </row>
        <row r="128">
          <cell r="D128" t="str">
            <v>AtlanticoBarranquilla</v>
          </cell>
          <cell r="E128" t="str">
            <v>Alto</v>
          </cell>
          <cell r="F128">
            <v>8001</v>
          </cell>
        </row>
        <row r="129">
          <cell r="D129" t="str">
            <v>AtlanticoBaranoa</v>
          </cell>
          <cell r="E129" t="str">
            <v>Incipiente</v>
          </cell>
          <cell r="F129">
            <v>8078</v>
          </cell>
        </row>
        <row r="130">
          <cell r="D130" t="str">
            <v>AtlanticoCampo de La Cruz</v>
          </cell>
          <cell r="E130" t="str">
            <v>Bajo</v>
          </cell>
          <cell r="F130">
            <v>8137</v>
          </cell>
        </row>
        <row r="131">
          <cell r="D131" t="str">
            <v>AtlanticoCandelaria</v>
          </cell>
          <cell r="E131" t="str">
            <v>Bajo</v>
          </cell>
          <cell r="F131">
            <v>8141</v>
          </cell>
        </row>
        <row r="132">
          <cell r="D132" t="str">
            <v>AtlanticoGalapa</v>
          </cell>
          <cell r="E132" t="str">
            <v>Moderado</v>
          </cell>
          <cell r="F132">
            <v>8296</v>
          </cell>
        </row>
        <row r="133">
          <cell r="D133" t="str">
            <v>AtlanticoJuan de Acosta</v>
          </cell>
          <cell r="E133" t="str">
            <v>Bajo</v>
          </cell>
          <cell r="F133">
            <v>8372</v>
          </cell>
        </row>
        <row r="134">
          <cell r="D134" t="str">
            <v>AtlanticoLuruaco</v>
          </cell>
          <cell r="E134" t="str">
            <v>Bajo</v>
          </cell>
          <cell r="F134">
            <v>8421</v>
          </cell>
        </row>
        <row r="135">
          <cell r="D135" t="str">
            <v>AtlanticoMalambo</v>
          </cell>
          <cell r="E135" t="str">
            <v>Moderado</v>
          </cell>
          <cell r="F135">
            <v>8433</v>
          </cell>
        </row>
        <row r="136">
          <cell r="D136" t="str">
            <v>AtlanticoManatí</v>
          </cell>
          <cell r="E136" t="str">
            <v>Bajo</v>
          </cell>
          <cell r="F136">
            <v>8436</v>
          </cell>
        </row>
        <row r="137">
          <cell r="D137" t="str">
            <v>AtlanticoPalmar de Varela</v>
          </cell>
          <cell r="E137" t="str">
            <v>Incipiente</v>
          </cell>
          <cell r="F137">
            <v>8520</v>
          </cell>
        </row>
        <row r="138">
          <cell r="D138" t="str">
            <v>AtlanticoPiojó</v>
          </cell>
          <cell r="E138" t="str">
            <v>Bajo</v>
          </cell>
          <cell r="F138">
            <v>8549</v>
          </cell>
        </row>
        <row r="139">
          <cell r="D139" t="str">
            <v>AtlanticoPolonuevo</v>
          </cell>
          <cell r="E139" t="str">
            <v>Bajo</v>
          </cell>
          <cell r="F139">
            <v>8558</v>
          </cell>
        </row>
        <row r="140">
          <cell r="D140" t="str">
            <v>AtlanticoPonedera</v>
          </cell>
          <cell r="E140" t="str">
            <v>Bajo</v>
          </cell>
          <cell r="F140">
            <v>8560</v>
          </cell>
        </row>
        <row r="141">
          <cell r="D141" t="str">
            <v>AtlanticoPuerto Colombia</v>
          </cell>
          <cell r="E141" t="str">
            <v>Moderado</v>
          </cell>
          <cell r="F141">
            <v>8573</v>
          </cell>
        </row>
        <row r="142">
          <cell r="D142" t="str">
            <v>AtlanticoRepelón</v>
          </cell>
          <cell r="E142" t="str">
            <v>Bajo</v>
          </cell>
          <cell r="F142">
            <v>8606</v>
          </cell>
        </row>
        <row r="143">
          <cell r="D143" t="str">
            <v>AtlanticoSabanagrande</v>
          </cell>
          <cell r="E143" t="str">
            <v>Incipiente</v>
          </cell>
          <cell r="F143">
            <v>8634</v>
          </cell>
        </row>
        <row r="144">
          <cell r="D144" t="str">
            <v>AtlanticoSabanalarga</v>
          </cell>
          <cell r="E144" t="str">
            <v>Incipiente</v>
          </cell>
          <cell r="F144">
            <v>8638</v>
          </cell>
        </row>
        <row r="145">
          <cell r="D145" t="str">
            <v>AtlanticoSanta Lucía</v>
          </cell>
          <cell r="E145" t="str">
            <v>Bajo</v>
          </cell>
          <cell r="F145">
            <v>8675</v>
          </cell>
        </row>
        <row r="146">
          <cell r="D146" t="str">
            <v>AtlanticoSanto Tomás</v>
          </cell>
          <cell r="E146" t="str">
            <v>Moderado</v>
          </cell>
          <cell r="F146">
            <v>8685</v>
          </cell>
        </row>
        <row r="147">
          <cell r="D147" t="str">
            <v>AtlanticoSoledad</v>
          </cell>
          <cell r="E147" t="str">
            <v>Alto</v>
          </cell>
          <cell r="F147">
            <v>8758</v>
          </cell>
        </row>
        <row r="148">
          <cell r="D148" t="str">
            <v>AtlanticoSuan</v>
          </cell>
          <cell r="E148" t="str">
            <v>Bajo</v>
          </cell>
          <cell r="F148">
            <v>8770</v>
          </cell>
        </row>
        <row r="149">
          <cell r="D149" t="str">
            <v>AtlanticoTubará</v>
          </cell>
          <cell r="E149" t="str">
            <v>Bajo</v>
          </cell>
          <cell r="F149">
            <v>8832</v>
          </cell>
        </row>
        <row r="150">
          <cell r="D150" t="str">
            <v>AtlanticoUsiacurí</v>
          </cell>
          <cell r="E150" t="str">
            <v>Bajo</v>
          </cell>
          <cell r="F150">
            <v>8849</v>
          </cell>
        </row>
        <row r="151">
          <cell r="D151" t="str">
            <v>Bogotá, D.C.Bogotá, D.C.</v>
          </cell>
          <cell r="E151" t="str">
            <v>Alto</v>
          </cell>
          <cell r="F151">
            <v>11001</v>
          </cell>
        </row>
        <row r="152">
          <cell r="D152" t="str">
            <v>BolivarCartagena</v>
          </cell>
          <cell r="E152" t="str">
            <v>Alto</v>
          </cell>
          <cell r="F152">
            <v>13001</v>
          </cell>
        </row>
        <row r="153">
          <cell r="D153" t="str">
            <v>BolivarAchí</v>
          </cell>
          <cell r="E153" t="str">
            <v>Limitado</v>
          </cell>
          <cell r="F153">
            <v>13006</v>
          </cell>
        </row>
        <row r="154">
          <cell r="D154" t="str">
            <v>BolivarAltos del Rosario</v>
          </cell>
          <cell r="E154" t="str">
            <v>Limitado</v>
          </cell>
          <cell r="F154">
            <v>13030</v>
          </cell>
        </row>
        <row r="155">
          <cell r="D155" t="str">
            <v>BolivarArenal</v>
          </cell>
          <cell r="E155" t="str">
            <v>Limitado</v>
          </cell>
          <cell r="F155">
            <v>13042</v>
          </cell>
        </row>
        <row r="156">
          <cell r="D156" t="str">
            <v>BolivarArjona</v>
          </cell>
          <cell r="E156" t="str">
            <v>Incipiente</v>
          </cell>
          <cell r="F156">
            <v>13052</v>
          </cell>
        </row>
        <row r="157">
          <cell r="D157" t="str">
            <v>BolivarArroyohondo</v>
          </cell>
          <cell r="E157" t="str">
            <v>Limitado</v>
          </cell>
          <cell r="F157">
            <v>13062</v>
          </cell>
        </row>
        <row r="158">
          <cell r="D158" t="str">
            <v>BolivarBarranco de Loba</v>
          </cell>
          <cell r="E158" t="str">
            <v>Limitado</v>
          </cell>
          <cell r="F158">
            <v>13074</v>
          </cell>
        </row>
        <row r="159">
          <cell r="D159" t="str">
            <v>BolivarCalamar</v>
          </cell>
          <cell r="E159" t="str">
            <v>Bajo</v>
          </cell>
          <cell r="F159">
            <v>13140</v>
          </cell>
        </row>
        <row r="160">
          <cell r="D160" t="str">
            <v>BolivarCantagallo</v>
          </cell>
          <cell r="E160" t="str">
            <v>Limitado</v>
          </cell>
          <cell r="F160">
            <v>13160</v>
          </cell>
        </row>
        <row r="161">
          <cell r="D161" t="str">
            <v>BolivarCicuco</v>
          </cell>
          <cell r="E161" t="str">
            <v>Limitado</v>
          </cell>
          <cell r="F161">
            <v>13188</v>
          </cell>
        </row>
        <row r="162">
          <cell r="D162" t="str">
            <v>BolivarCórdoba</v>
          </cell>
          <cell r="E162" t="str">
            <v>Limitado</v>
          </cell>
          <cell r="F162">
            <v>13212</v>
          </cell>
        </row>
        <row r="163">
          <cell r="D163" t="str">
            <v>BolivarClemencia</v>
          </cell>
          <cell r="E163" t="str">
            <v>Bajo</v>
          </cell>
          <cell r="F163">
            <v>13222</v>
          </cell>
        </row>
        <row r="164">
          <cell r="D164" t="str">
            <v>BolivarEl Carmen de Bolívar</v>
          </cell>
          <cell r="E164" t="str">
            <v>Bajo</v>
          </cell>
          <cell r="F164">
            <v>13244</v>
          </cell>
        </row>
        <row r="165">
          <cell r="D165" t="str">
            <v>BolivarEl Guamo</v>
          </cell>
          <cell r="E165" t="str">
            <v>Bajo</v>
          </cell>
          <cell r="F165">
            <v>13248</v>
          </cell>
        </row>
        <row r="166">
          <cell r="D166" t="str">
            <v>BolivarEl Peñón</v>
          </cell>
          <cell r="E166" t="str">
            <v>Limitado</v>
          </cell>
          <cell r="F166">
            <v>13268</v>
          </cell>
        </row>
        <row r="167">
          <cell r="D167" t="str">
            <v>BolivarHatillo de Loba</v>
          </cell>
          <cell r="E167" t="str">
            <v>Limitado</v>
          </cell>
          <cell r="F167">
            <v>13300</v>
          </cell>
        </row>
        <row r="168">
          <cell r="D168" t="str">
            <v>BolivarMagangué</v>
          </cell>
          <cell r="E168" t="str">
            <v>Incipiente</v>
          </cell>
          <cell r="F168">
            <v>13430</v>
          </cell>
        </row>
        <row r="169">
          <cell r="D169" t="str">
            <v>BolivarMahates</v>
          </cell>
          <cell r="E169" t="str">
            <v>Bajo</v>
          </cell>
          <cell r="F169">
            <v>13433</v>
          </cell>
        </row>
        <row r="170">
          <cell r="D170" t="str">
            <v>BolivarMargarita</v>
          </cell>
          <cell r="E170" t="str">
            <v>Limitado</v>
          </cell>
          <cell r="F170">
            <v>13440</v>
          </cell>
        </row>
        <row r="171">
          <cell r="D171" t="str">
            <v>BolivarMaría La Baja</v>
          </cell>
          <cell r="E171" t="str">
            <v>Bajo</v>
          </cell>
          <cell r="F171">
            <v>13442</v>
          </cell>
        </row>
        <row r="172">
          <cell r="D172" t="str">
            <v>BolivarMontecristo</v>
          </cell>
          <cell r="E172" t="str">
            <v>Limitado</v>
          </cell>
          <cell r="F172">
            <v>13458</v>
          </cell>
        </row>
        <row r="173">
          <cell r="D173" t="str">
            <v>BolivarMompós</v>
          </cell>
          <cell r="E173" t="str">
            <v>Bajo</v>
          </cell>
          <cell r="F173">
            <v>13468</v>
          </cell>
        </row>
        <row r="174">
          <cell r="D174" t="str">
            <v>BolivarMorales</v>
          </cell>
          <cell r="E174" t="str">
            <v>Limitado</v>
          </cell>
          <cell r="F174">
            <v>13473</v>
          </cell>
        </row>
        <row r="175">
          <cell r="D175" t="str">
            <v>BolivarNorosí</v>
          </cell>
          <cell r="E175" t="str">
            <v>Limitado</v>
          </cell>
          <cell r="F175">
            <v>13490</v>
          </cell>
        </row>
        <row r="176">
          <cell r="D176" t="str">
            <v>BolivarPinillos</v>
          </cell>
          <cell r="E176" t="str">
            <v>Limitado</v>
          </cell>
          <cell r="F176">
            <v>13549</v>
          </cell>
        </row>
        <row r="177">
          <cell r="D177" t="str">
            <v>BolivarRegidor</v>
          </cell>
          <cell r="E177" t="str">
            <v>Limitado</v>
          </cell>
          <cell r="F177">
            <v>13580</v>
          </cell>
        </row>
        <row r="178">
          <cell r="D178" t="str">
            <v>BolivarRío Viejo</v>
          </cell>
          <cell r="E178" t="str">
            <v>Limitado</v>
          </cell>
          <cell r="F178">
            <v>13600</v>
          </cell>
        </row>
        <row r="179">
          <cell r="D179" t="str">
            <v>BolivarSan Cristóbal</v>
          </cell>
          <cell r="E179" t="str">
            <v>Limitado</v>
          </cell>
          <cell r="F179">
            <v>13620</v>
          </cell>
        </row>
        <row r="180">
          <cell r="D180" t="str">
            <v>BolivarSan Estanislao</v>
          </cell>
          <cell r="E180" t="str">
            <v>Bajo</v>
          </cell>
          <cell r="F180">
            <v>13647</v>
          </cell>
        </row>
        <row r="181">
          <cell r="D181" t="str">
            <v>BolivarSan Fernando</v>
          </cell>
          <cell r="E181" t="str">
            <v>Limitado</v>
          </cell>
          <cell r="F181">
            <v>13650</v>
          </cell>
        </row>
        <row r="182">
          <cell r="D182" t="str">
            <v>BolivarSan Jacinto</v>
          </cell>
          <cell r="E182" t="str">
            <v>Bajo</v>
          </cell>
          <cell r="F182">
            <v>13654</v>
          </cell>
        </row>
        <row r="183">
          <cell r="D183" t="str">
            <v>BolivarSan Jacinto del Cauca</v>
          </cell>
          <cell r="E183" t="str">
            <v>Limitado</v>
          </cell>
          <cell r="F183">
            <v>13655</v>
          </cell>
        </row>
        <row r="184">
          <cell r="D184" t="str">
            <v>BolivarSan Juan Nepomuceno</v>
          </cell>
          <cell r="E184" t="str">
            <v>Bajo</v>
          </cell>
          <cell r="F184">
            <v>13657</v>
          </cell>
        </row>
        <row r="185">
          <cell r="D185" t="str">
            <v>BolivarSan Martín de Loba</v>
          </cell>
          <cell r="E185" t="str">
            <v>Limitado</v>
          </cell>
          <cell r="F185">
            <v>13667</v>
          </cell>
        </row>
        <row r="186">
          <cell r="D186" t="str">
            <v>BolivarSan Pablo</v>
          </cell>
          <cell r="E186" t="str">
            <v>Bajo</v>
          </cell>
          <cell r="F186">
            <v>13670</v>
          </cell>
        </row>
        <row r="187">
          <cell r="D187" t="str">
            <v>BolivarSanta Catalina</v>
          </cell>
          <cell r="E187" t="str">
            <v>Bajo</v>
          </cell>
          <cell r="F187">
            <v>13673</v>
          </cell>
        </row>
        <row r="188">
          <cell r="D188" t="str">
            <v>BolivarSanta Rosa</v>
          </cell>
          <cell r="E188" t="str">
            <v>Bajo</v>
          </cell>
          <cell r="F188">
            <v>13683</v>
          </cell>
        </row>
        <row r="189">
          <cell r="D189" t="str">
            <v>BolivarSanta Rosa del Sur</v>
          </cell>
          <cell r="E189" t="str">
            <v>Limitado</v>
          </cell>
          <cell r="F189">
            <v>13688</v>
          </cell>
        </row>
        <row r="190">
          <cell r="D190" t="str">
            <v>BolivarSimití</v>
          </cell>
          <cell r="E190" t="str">
            <v>Limitado</v>
          </cell>
          <cell r="F190">
            <v>13744</v>
          </cell>
        </row>
        <row r="191">
          <cell r="D191" t="str">
            <v>BolivarSoplaviento</v>
          </cell>
          <cell r="E191" t="str">
            <v>Bajo</v>
          </cell>
          <cell r="F191">
            <v>13760</v>
          </cell>
        </row>
        <row r="192">
          <cell r="D192" t="str">
            <v>BolivarTalaigua Nuevo</v>
          </cell>
          <cell r="E192" t="str">
            <v>Limitado</v>
          </cell>
          <cell r="F192">
            <v>13780</v>
          </cell>
        </row>
        <row r="193">
          <cell r="D193" t="str">
            <v>BolivarTiquisio</v>
          </cell>
          <cell r="E193" t="str">
            <v>Limitado</v>
          </cell>
          <cell r="F193">
            <v>13810</v>
          </cell>
        </row>
        <row r="194">
          <cell r="D194" t="str">
            <v>BolivarTurbaco</v>
          </cell>
          <cell r="E194" t="str">
            <v>Moderado</v>
          </cell>
          <cell r="F194">
            <v>13836</v>
          </cell>
        </row>
        <row r="195">
          <cell r="D195" t="str">
            <v>BolivarTurbaná</v>
          </cell>
          <cell r="E195" t="str">
            <v>Incipiente</v>
          </cell>
          <cell r="F195">
            <v>13838</v>
          </cell>
        </row>
        <row r="196">
          <cell r="D196" t="str">
            <v>BolivarVillanueva</v>
          </cell>
          <cell r="E196" t="str">
            <v>Bajo</v>
          </cell>
          <cell r="F196">
            <v>13873</v>
          </cell>
        </row>
        <row r="197">
          <cell r="D197" t="str">
            <v>BolivarZambrano</v>
          </cell>
          <cell r="E197" t="str">
            <v>Bajo</v>
          </cell>
          <cell r="F197">
            <v>13894</v>
          </cell>
        </row>
        <row r="198">
          <cell r="D198" t="str">
            <v>BoyacaTunja</v>
          </cell>
          <cell r="E198" t="str">
            <v>Moderado</v>
          </cell>
          <cell r="F198">
            <v>15001</v>
          </cell>
        </row>
        <row r="199">
          <cell r="D199" t="str">
            <v>BoyacaAlmeida</v>
          </cell>
          <cell r="E199" t="str">
            <v>Limitado</v>
          </cell>
          <cell r="F199">
            <v>15022</v>
          </cell>
        </row>
        <row r="200">
          <cell r="D200" t="str">
            <v>BoyacaAquitania</v>
          </cell>
          <cell r="E200" t="str">
            <v>Bajo</v>
          </cell>
          <cell r="F200">
            <v>15047</v>
          </cell>
        </row>
        <row r="201">
          <cell r="D201" t="str">
            <v>BoyacaArcabuco</v>
          </cell>
          <cell r="E201" t="str">
            <v>Bajo</v>
          </cell>
          <cell r="F201">
            <v>15051</v>
          </cell>
        </row>
        <row r="202">
          <cell r="D202" t="str">
            <v>BoyacaBelén</v>
          </cell>
          <cell r="E202" t="str">
            <v>Incipiente</v>
          </cell>
          <cell r="F202">
            <v>15087</v>
          </cell>
        </row>
        <row r="203">
          <cell r="D203" t="str">
            <v>BoyacaBerbeo</v>
          </cell>
          <cell r="E203" t="str">
            <v>Limitado</v>
          </cell>
          <cell r="F203">
            <v>15090</v>
          </cell>
        </row>
        <row r="204">
          <cell r="D204" t="str">
            <v>BoyacaBetéitiva</v>
          </cell>
          <cell r="E204" t="str">
            <v>Limitado</v>
          </cell>
          <cell r="F204">
            <v>15092</v>
          </cell>
        </row>
        <row r="205">
          <cell r="D205" t="str">
            <v>BoyacaBoavita</v>
          </cell>
          <cell r="E205" t="str">
            <v>Bajo</v>
          </cell>
          <cell r="F205">
            <v>15097</v>
          </cell>
        </row>
        <row r="206">
          <cell r="D206" t="str">
            <v>BoyacaBoyacá</v>
          </cell>
          <cell r="E206" t="str">
            <v>Bajo</v>
          </cell>
          <cell r="F206">
            <v>15104</v>
          </cell>
        </row>
        <row r="207">
          <cell r="D207" t="str">
            <v>BoyacaBriceño</v>
          </cell>
          <cell r="E207" t="str">
            <v>Bajo</v>
          </cell>
          <cell r="F207">
            <v>15106</v>
          </cell>
        </row>
        <row r="208">
          <cell r="D208" t="str">
            <v>BoyacaBuenavista</v>
          </cell>
          <cell r="E208" t="str">
            <v>Limitado</v>
          </cell>
          <cell r="F208">
            <v>15109</v>
          </cell>
        </row>
        <row r="209">
          <cell r="D209" t="str">
            <v>BoyacaBusbanzá</v>
          </cell>
          <cell r="E209" t="str">
            <v>Limitado</v>
          </cell>
          <cell r="F209">
            <v>15114</v>
          </cell>
        </row>
        <row r="210">
          <cell r="D210" t="str">
            <v>BoyacaCaldas</v>
          </cell>
          <cell r="E210" t="str">
            <v>Bajo</v>
          </cell>
          <cell r="F210">
            <v>15131</v>
          </cell>
        </row>
        <row r="211">
          <cell r="D211" t="str">
            <v>BoyacaCampohermoso</v>
          </cell>
          <cell r="E211" t="str">
            <v>Bajo</v>
          </cell>
          <cell r="F211">
            <v>15135</v>
          </cell>
        </row>
        <row r="212">
          <cell r="D212" t="str">
            <v>BoyacaCerinza</v>
          </cell>
          <cell r="E212" t="str">
            <v>Bajo</v>
          </cell>
          <cell r="F212">
            <v>15162</v>
          </cell>
        </row>
        <row r="213">
          <cell r="D213" t="str">
            <v>BoyacaChinavita</v>
          </cell>
          <cell r="E213" t="str">
            <v>Bajo</v>
          </cell>
          <cell r="F213">
            <v>15172</v>
          </cell>
        </row>
        <row r="214">
          <cell r="D214" t="str">
            <v>BoyacaChiquinquirá</v>
          </cell>
          <cell r="E214" t="str">
            <v>Moderado</v>
          </cell>
          <cell r="F214">
            <v>15176</v>
          </cell>
        </row>
        <row r="215">
          <cell r="D215" t="str">
            <v>BoyacaChiscas</v>
          </cell>
          <cell r="E215" t="str">
            <v>Limitado</v>
          </cell>
          <cell r="F215">
            <v>15180</v>
          </cell>
        </row>
        <row r="216">
          <cell r="D216" t="str">
            <v>BoyacaChita</v>
          </cell>
          <cell r="E216" t="str">
            <v>Limitado</v>
          </cell>
          <cell r="F216">
            <v>15183</v>
          </cell>
        </row>
        <row r="217">
          <cell r="D217" t="str">
            <v>BoyacaChitaraque</v>
          </cell>
          <cell r="E217" t="str">
            <v>Bajo</v>
          </cell>
          <cell r="F217">
            <v>15185</v>
          </cell>
        </row>
        <row r="218">
          <cell r="D218" t="str">
            <v>BoyacaChivatá</v>
          </cell>
          <cell r="E218" t="str">
            <v>Bajo</v>
          </cell>
          <cell r="F218">
            <v>15187</v>
          </cell>
        </row>
        <row r="219">
          <cell r="D219" t="str">
            <v>BoyacaCiénega</v>
          </cell>
          <cell r="E219" t="str">
            <v>Bajo</v>
          </cell>
          <cell r="F219">
            <v>15189</v>
          </cell>
        </row>
        <row r="220">
          <cell r="D220" t="str">
            <v>BoyacaCómbita</v>
          </cell>
          <cell r="E220" t="str">
            <v>Bajo</v>
          </cell>
          <cell r="F220">
            <v>15204</v>
          </cell>
        </row>
        <row r="221">
          <cell r="D221" t="str">
            <v>BoyacaCoper</v>
          </cell>
          <cell r="E221" t="str">
            <v>Limitado</v>
          </cell>
          <cell r="F221">
            <v>15212</v>
          </cell>
        </row>
        <row r="222">
          <cell r="D222" t="str">
            <v>BoyacaCorrales</v>
          </cell>
          <cell r="E222" t="str">
            <v>Incipiente</v>
          </cell>
          <cell r="F222">
            <v>15215</v>
          </cell>
        </row>
        <row r="223">
          <cell r="D223" t="str">
            <v>BoyacaCovarachía</v>
          </cell>
          <cell r="E223" t="str">
            <v>Limitado</v>
          </cell>
          <cell r="F223">
            <v>15218</v>
          </cell>
        </row>
        <row r="224">
          <cell r="D224" t="str">
            <v>BoyacaCubará</v>
          </cell>
          <cell r="E224" t="str">
            <v>Bajo</v>
          </cell>
          <cell r="F224">
            <v>15223</v>
          </cell>
        </row>
        <row r="225">
          <cell r="D225" t="str">
            <v>BoyacaCucaita</v>
          </cell>
          <cell r="E225" t="str">
            <v>Bajo</v>
          </cell>
          <cell r="F225">
            <v>15224</v>
          </cell>
        </row>
        <row r="226">
          <cell r="D226" t="str">
            <v>BoyacaCuítiva</v>
          </cell>
          <cell r="E226" t="str">
            <v>Bajo</v>
          </cell>
          <cell r="F226">
            <v>15226</v>
          </cell>
        </row>
        <row r="227">
          <cell r="D227" t="str">
            <v>BoyacaChíquiza</v>
          </cell>
          <cell r="E227" t="str">
            <v>Bajo</v>
          </cell>
          <cell r="F227">
            <v>15232</v>
          </cell>
        </row>
        <row r="228">
          <cell r="D228" t="str">
            <v>BoyacaChivor</v>
          </cell>
          <cell r="E228" t="str">
            <v>Bajo</v>
          </cell>
          <cell r="F228">
            <v>15236</v>
          </cell>
        </row>
        <row r="229">
          <cell r="D229" t="str">
            <v>BoyacaDuitama</v>
          </cell>
          <cell r="E229" t="str">
            <v>Moderado</v>
          </cell>
          <cell r="F229">
            <v>15238</v>
          </cell>
        </row>
        <row r="230">
          <cell r="D230" t="str">
            <v>BoyacaEl Cocuy</v>
          </cell>
          <cell r="E230" t="str">
            <v>Bajo</v>
          </cell>
          <cell r="F230">
            <v>15244</v>
          </cell>
        </row>
        <row r="231">
          <cell r="D231" t="str">
            <v>BoyacaEl Espino</v>
          </cell>
          <cell r="E231" t="str">
            <v>Bajo</v>
          </cell>
          <cell r="F231">
            <v>15248</v>
          </cell>
        </row>
        <row r="232">
          <cell r="D232" t="str">
            <v>BoyacaFiravitoba</v>
          </cell>
          <cell r="E232" t="str">
            <v>Bajo</v>
          </cell>
          <cell r="F232">
            <v>15272</v>
          </cell>
        </row>
        <row r="233">
          <cell r="D233" t="str">
            <v>BoyacaFloresta</v>
          </cell>
          <cell r="E233" t="str">
            <v>Bajo</v>
          </cell>
          <cell r="F233">
            <v>15276</v>
          </cell>
        </row>
        <row r="234">
          <cell r="D234" t="str">
            <v>BoyacaGachantivá</v>
          </cell>
          <cell r="E234" t="str">
            <v>Bajo</v>
          </cell>
          <cell r="F234">
            <v>15293</v>
          </cell>
        </row>
        <row r="235">
          <cell r="D235" t="str">
            <v>BoyacaGámeza</v>
          </cell>
          <cell r="E235" t="str">
            <v>Bajo</v>
          </cell>
          <cell r="F235">
            <v>15296</v>
          </cell>
        </row>
        <row r="236">
          <cell r="D236" t="str">
            <v>BoyacaGaragoa</v>
          </cell>
          <cell r="E236" t="str">
            <v>Incipiente</v>
          </cell>
          <cell r="F236">
            <v>15299</v>
          </cell>
        </row>
        <row r="237">
          <cell r="D237" t="str">
            <v>BoyacaGuacamayas</v>
          </cell>
          <cell r="E237" t="str">
            <v>Limitado</v>
          </cell>
          <cell r="F237">
            <v>15317</v>
          </cell>
        </row>
        <row r="238">
          <cell r="D238" t="str">
            <v>BoyacaGuateque</v>
          </cell>
          <cell r="E238" t="str">
            <v>Incipiente</v>
          </cell>
          <cell r="F238">
            <v>15322</v>
          </cell>
        </row>
        <row r="239">
          <cell r="D239" t="str">
            <v>BoyacaGuayatá</v>
          </cell>
          <cell r="E239" t="str">
            <v>Bajo</v>
          </cell>
          <cell r="F239">
            <v>15325</v>
          </cell>
        </row>
        <row r="240">
          <cell r="D240" t="str">
            <v>BoyacaGüicán de La Sierra</v>
          </cell>
          <cell r="E240" t="str">
            <v>Bajo</v>
          </cell>
          <cell r="F240">
            <v>15332</v>
          </cell>
        </row>
        <row r="241">
          <cell r="D241" t="str">
            <v>BoyacaIza</v>
          </cell>
          <cell r="E241" t="str">
            <v>Incipiente</v>
          </cell>
          <cell r="F241">
            <v>15362</v>
          </cell>
        </row>
        <row r="242">
          <cell r="D242" t="str">
            <v>BoyacaJenesano</v>
          </cell>
          <cell r="E242" t="str">
            <v>Bajo</v>
          </cell>
          <cell r="F242">
            <v>15367</v>
          </cell>
        </row>
        <row r="243">
          <cell r="D243" t="str">
            <v>BoyacaJericó</v>
          </cell>
          <cell r="E243" t="str">
            <v>Bajo</v>
          </cell>
          <cell r="F243">
            <v>15368</v>
          </cell>
        </row>
        <row r="244">
          <cell r="D244" t="str">
            <v>BoyacaLabranzagrande</v>
          </cell>
          <cell r="E244" t="str">
            <v>Bajo</v>
          </cell>
          <cell r="F244">
            <v>15377</v>
          </cell>
        </row>
        <row r="245">
          <cell r="D245" t="str">
            <v>BoyacaLa Capilla</v>
          </cell>
          <cell r="E245" t="str">
            <v>Bajo</v>
          </cell>
          <cell r="F245">
            <v>15380</v>
          </cell>
        </row>
        <row r="246">
          <cell r="D246" t="str">
            <v>BoyacaLa Victoria</v>
          </cell>
          <cell r="E246" t="str">
            <v>Limitado</v>
          </cell>
          <cell r="F246">
            <v>15401</v>
          </cell>
        </row>
        <row r="247">
          <cell r="D247" t="str">
            <v>BoyacaLa Uvita</v>
          </cell>
          <cell r="E247" t="str">
            <v>Bajo</v>
          </cell>
          <cell r="F247">
            <v>15403</v>
          </cell>
        </row>
        <row r="248">
          <cell r="D248" t="str">
            <v>BoyacaVilla de Leyva</v>
          </cell>
          <cell r="E248" t="str">
            <v>Incipiente</v>
          </cell>
          <cell r="F248">
            <v>15407</v>
          </cell>
        </row>
        <row r="249">
          <cell r="D249" t="str">
            <v>BoyacaMacanal</v>
          </cell>
          <cell r="E249" t="str">
            <v>Bajo</v>
          </cell>
          <cell r="F249">
            <v>15425</v>
          </cell>
        </row>
        <row r="250">
          <cell r="D250" t="str">
            <v>BoyacaMaripí</v>
          </cell>
          <cell r="E250" t="str">
            <v>Bajo</v>
          </cell>
          <cell r="F250">
            <v>15442</v>
          </cell>
        </row>
        <row r="251">
          <cell r="D251" t="str">
            <v>BoyacaMiraflores</v>
          </cell>
          <cell r="E251" t="str">
            <v>Bajo</v>
          </cell>
          <cell r="F251">
            <v>15455</v>
          </cell>
        </row>
        <row r="252">
          <cell r="D252" t="str">
            <v>BoyacaMongua</v>
          </cell>
          <cell r="E252" t="str">
            <v>Bajo</v>
          </cell>
          <cell r="F252">
            <v>15464</v>
          </cell>
        </row>
        <row r="253">
          <cell r="D253" t="str">
            <v>BoyacaMonguí</v>
          </cell>
          <cell r="E253" t="str">
            <v>Bajo</v>
          </cell>
          <cell r="F253">
            <v>15466</v>
          </cell>
        </row>
        <row r="254">
          <cell r="D254" t="str">
            <v>BoyacaMoniquirá</v>
          </cell>
          <cell r="E254" t="str">
            <v>Incipiente</v>
          </cell>
          <cell r="F254">
            <v>15469</v>
          </cell>
        </row>
        <row r="255">
          <cell r="D255" t="str">
            <v>BoyacaMotavita</v>
          </cell>
          <cell r="E255" t="str">
            <v>Bajo</v>
          </cell>
          <cell r="F255">
            <v>15476</v>
          </cell>
        </row>
        <row r="256">
          <cell r="D256" t="str">
            <v>BoyacaMuzo</v>
          </cell>
          <cell r="E256" t="str">
            <v>Bajo</v>
          </cell>
          <cell r="F256">
            <v>15480</v>
          </cell>
        </row>
        <row r="257">
          <cell r="D257" t="str">
            <v>BoyacaNobsa</v>
          </cell>
          <cell r="E257" t="str">
            <v>Incipiente</v>
          </cell>
          <cell r="F257">
            <v>15491</v>
          </cell>
        </row>
        <row r="258">
          <cell r="D258" t="str">
            <v>BoyacaNuevo Colón</v>
          </cell>
          <cell r="E258" t="str">
            <v>Bajo</v>
          </cell>
          <cell r="F258">
            <v>15494</v>
          </cell>
        </row>
        <row r="259">
          <cell r="D259" t="str">
            <v>BoyacaOicatá</v>
          </cell>
          <cell r="E259" t="str">
            <v>Bajo</v>
          </cell>
          <cell r="F259">
            <v>15500</v>
          </cell>
        </row>
        <row r="260">
          <cell r="D260" t="str">
            <v>BoyacaOtanche</v>
          </cell>
          <cell r="E260" t="str">
            <v>Bajo</v>
          </cell>
          <cell r="F260">
            <v>15507</v>
          </cell>
        </row>
        <row r="261">
          <cell r="D261" t="str">
            <v>BoyacaPachavita</v>
          </cell>
          <cell r="E261" t="str">
            <v>Bajo</v>
          </cell>
          <cell r="F261">
            <v>15511</v>
          </cell>
        </row>
        <row r="262">
          <cell r="D262" t="str">
            <v>BoyacaPáez</v>
          </cell>
          <cell r="E262" t="str">
            <v>Limitado</v>
          </cell>
          <cell r="F262">
            <v>15514</v>
          </cell>
        </row>
        <row r="263">
          <cell r="D263" t="str">
            <v>BoyacaPaipa</v>
          </cell>
          <cell r="E263" t="str">
            <v>Moderado</v>
          </cell>
          <cell r="F263">
            <v>15516</v>
          </cell>
        </row>
        <row r="264">
          <cell r="D264" t="str">
            <v>BoyacaPajarito</v>
          </cell>
          <cell r="E264" t="str">
            <v>Limitado</v>
          </cell>
          <cell r="F264">
            <v>15518</v>
          </cell>
        </row>
        <row r="265">
          <cell r="D265" t="str">
            <v>BoyacaPanqueba</v>
          </cell>
          <cell r="E265" t="str">
            <v>Bajo</v>
          </cell>
          <cell r="F265">
            <v>15522</v>
          </cell>
        </row>
        <row r="266">
          <cell r="D266" t="str">
            <v>BoyacaPauna</v>
          </cell>
          <cell r="E266" t="str">
            <v>Bajo</v>
          </cell>
          <cell r="F266">
            <v>15531</v>
          </cell>
        </row>
        <row r="267">
          <cell r="D267" t="str">
            <v>BoyacaPaya</v>
          </cell>
          <cell r="E267" t="str">
            <v>Limitado</v>
          </cell>
          <cell r="F267">
            <v>15533</v>
          </cell>
        </row>
        <row r="268">
          <cell r="D268" t="str">
            <v>BoyacaPaz de Río</v>
          </cell>
          <cell r="E268" t="str">
            <v>Bajo</v>
          </cell>
          <cell r="F268">
            <v>15537</v>
          </cell>
        </row>
        <row r="269">
          <cell r="D269" t="str">
            <v>BoyacaPesca</v>
          </cell>
          <cell r="E269" t="str">
            <v>Bajo</v>
          </cell>
          <cell r="F269">
            <v>15542</v>
          </cell>
        </row>
        <row r="270">
          <cell r="D270" t="str">
            <v>BoyacaPisba</v>
          </cell>
          <cell r="E270" t="str">
            <v>Limitado</v>
          </cell>
          <cell r="F270">
            <v>15550</v>
          </cell>
        </row>
        <row r="271">
          <cell r="D271" t="str">
            <v>BoyacaPuerto Boyacá</v>
          </cell>
          <cell r="E271" t="str">
            <v>Incipiente</v>
          </cell>
          <cell r="F271">
            <v>15572</v>
          </cell>
        </row>
        <row r="272">
          <cell r="D272" t="str">
            <v>BoyacaQuípama</v>
          </cell>
          <cell r="E272" t="str">
            <v>Limitado</v>
          </cell>
          <cell r="F272">
            <v>15580</v>
          </cell>
        </row>
        <row r="273">
          <cell r="D273" t="str">
            <v>BoyacaRamiriquí</v>
          </cell>
          <cell r="E273" t="str">
            <v>Bajo</v>
          </cell>
          <cell r="F273">
            <v>15599</v>
          </cell>
        </row>
        <row r="274">
          <cell r="D274" t="str">
            <v>BoyacaRáquira</v>
          </cell>
          <cell r="E274" t="str">
            <v>Bajo</v>
          </cell>
          <cell r="F274">
            <v>15600</v>
          </cell>
        </row>
        <row r="275">
          <cell r="D275" t="str">
            <v>BoyacaRondón</v>
          </cell>
          <cell r="E275" t="str">
            <v>Bajo</v>
          </cell>
          <cell r="F275">
            <v>15621</v>
          </cell>
        </row>
        <row r="276">
          <cell r="D276" t="str">
            <v>BoyacaSaboyá</v>
          </cell>
          <cell r="E276" t="str">
            <v>Bajo</v>
          </cell>
          <cell r="F276">
            <v>15632</v>
          </cell>
        </row>
        <row r="277">
          <cell r="D277" t="str">
            <v>BoyacaSáchica</v>
          </cell>
          <cell r="E277" t="str">
            <v>Bajo</v>
          </cell>
          <cell r="F277">
            <v>15638</v>
          </cell>
        </row>
        <row r="278">
          <cell r="D278" t="str">
            <v>BoyacaSamacá</v>
          </cell>
          <cell r="E278" t="str">
            <v>Incipiente</v>
          </cell>
          <cell r="F278">
            <v>15646</v>
          </cell>
        </row>
        <row r="279">
          <cell r="D279" t="str">
            <v>BoyacaSan Eduardo</v>
          </cell>
          <cell r="E279" t="str">
            <v>Limitado</v>
          </cell>
          <cell r="F279">
            <v>15660</v>
          </cell>
        </row>
        <row r="280">
          <cell r="D280" t="str">
            <v>BoyacaSan José de Pare</v>
          </cell>
          <cell r="E280" t="str">
            <v>Bajo</v>
          </cell>
          <cell r="F280">
            <v>15664</v>
          </cell>
        </row>
        <row r="281">
          <cell r="D281" t="str">
            <v>BoyacaSan Luis de Gaceno</v>
          </cell>
          <cell r="E281" t="str">
            <v>Bajo</v>
          </cell>
          <cell r="F281">
            <v>15667</v>
          </cell>
        </row>
        <row r="282">
          <cell r="D282" t="str">
            <v>BoyacaSan Mateo</v>
          </cell>
          <cell r="E282" t="str">
            <v>Bajo</v>
          </cell>
          <cell r="F282">
            <v>15673</v>
          </cell>
        </row>
        <row r="283">
          <cell r="D283" t="str">
            <v>BoyacaSan Miguel de Sema</v>
          </cell>
          <cell r="E283" t="str">
            <v>Bajo</v>
          </cell>
          <cell r="F283">
            <v>15676</v>
          </cell>
        </row>
        <row r="284">
          <cell r="D284" t="str">
            <v>BoyacaSan Pablo de Borbur</v>
          </cell>
          <cell r="E284" t="str">
            <v>Bajo</v>
          </cell>
          <cell r="F284">
            <v>15681</v>
          </cell>
        </row>
        <row r="285">
          <cell r="D285" t="str">
            <v>BoyacaSantana</v>
          </cell>
          <cell r="E285" t="str">
            <v>Bajo</v>
          </cell>
          <cell r="F285">
            <v>15686</v>
          </cell>
        </row>
        <row r="286">
          <cell r="D286" t="str">
            <v>BoyacaSanta María</v>
          </cell>
          <cell r="E286" t="str">
            <v>Bajo</v>
          </cell>
          <cell r="F286">
            <v>15690</v>
          </cell>
        </row>
        <row r="287">
          <cell r="D287" t="str">
            <v>BoyacaSanta Rosa de Viterbo</v>
          </cell>
          <cell r="E287" t="str">
            <v>Bajo</v>
          </cell>
          <cell r="F287">
            <v>15693</v>
          </cell>
        </row>
        <row r="288">
          <cell r="D288" t="str">
            <v>BoyacaSanta Sofía</v>
          </cell>
          <cell r="E288" t="str">
            <v>Bajo</v>
          </cell>
          <cell r="F288">
            <v>15696</v>
          </cell>
        </row>
        <row r="289">
          <cell r="D289" t="str">
            <v>BoyacaSativanorte</v>
          </cell>
          <cell r="E289" t="str">
            <v>Bajo</v>
          </cell>
          <cell r="F289">
            <v>15720</v>
          </cell>
        </row>
        <row r="290">
          <cell r="D290" t="str">
            <v>BoyacaSativasur</v>
          </cell>
          <cell r="E290" t="str">
            <v>Limitado</v>
          </cell>
          <cell r="F290">
            <v>15723</v>
          </cell>
        </row>
        <row r="291">
          <cell r="D291" t="str">
            <v>BoyacaSiachoque</v>
          </cell>
          <cell r="E291" t="str">
            <v>Bajo</v>
          </cell>
          <cell r="F291">
            <v>15740</v>
          </cell>
        </row>
        <row r="292">
          <cell r="D292" t="str">
            <v>BoyacaSoatá</v>
          </cell>
          <cell r="E292" t="str">
            <v>Bajo</v>
          </cell>
          <cell r="F292">
            <v>15753</v>
          </cell>
        </row>
        <row r="293">
          <cell r="D293" t="str">
            <v>BoyacaSocotá</v>
          </cell>
          <cell r="E293" t="str">
            <v>Bajo</v>
          </cell>
          <cell r="F293">
            <v>15755</v>
          </cell>
        </row>
        <row r="294">
          <cell r="D294" t="str">
            <v>BoyacaSocha</v>
          </cell>
          <cell r="E294" t="str">
            <v>Bajo</v>
          </cell>
          <cell r="F294">
            <v>15757</v>
          </cell>
        </row>
        <row r="295">
          <cell r="D295" t="str">
            <v>BoyacaSogamoso</v>
          </cell>
          <cell r="E295" t="str">
            <v>Moderado</v>
          </cell>
          <cell r="F295">
            <v>15759</v>
          </cell>
        </row>
        <row r="296">
          <cell r="D296" t="str">
            <v>BoyacaSomondoco</v>
          </cell>
          <cell r="E296" t="str">
            <v>Bajo</v>
          </cell>
          <cell r="F296">
            <v>15761</v>
          </cell>
        </row>
        <row r="297">
          <cell r="D297" t="str">
            <v>BoyacaSora</v>
          </cell>
          <cell r="E297" t="str">
            <v>Bajo</v>
          </cell>
          <cell r="F297">
            <v>15762</v>
          </cell>
        </row>
        <row r="298">
          <cell r="D298" t="str">
            <v>BoyacaSotaquirá</v>
          </cell>
          <cell r="E298" t="str">
            <v>Bajo</v>
          </cell>
          <cell r="F298">
            <v>15763</v>
          </cell>
        </row>
        <row r="299">
          <cell r="D299" t="str">
            <v>BoyacaSoracá</v>
          </cell>
          <cell r="E299" t="str">
            <v>Bajo</v>
          </cell>
          <cell r="F299">
            <v>15764</v>
          </cell>
        </row>
        <row r="300">
          <cell r="D300" t="str">
            <v>BoyacaSusacón</v>
          </cell>
          <cell r="E300" t="str">
            <v>Bajo</v>
          </cell>
          <cell r="F300">
            <v>15774</v>
          </cell>
        </row>
        <row r="301">
          <cell r="D301" t="str">
            <v>BoyacaSutamarchán</v>
          </cell>
          <cell r="E301" t="str">
            <v>Bajo</v>
          </cell>
          <cell r="F301">
            <v>15776</v>
          </cell>
        </row>
        <row r="302">
          <cell r="D302" t="str">
            <v>BoyacaSutatenza</v>
          </cell>
          <cell r="E302" t="str">
            <v>Bajo</v>
          </cell>
          <cell r="F302">
            <v>15778</v>
          </cell>
        </row>
        <row r="303">
          <cell r="D303" t="str">
            <v>BoyacaTasco</v>
          </cell>
          <cell r="E303" t="str">
            <v>Bajo</v>
          </cell>
          <cell r="F303">
            <v>15790</v>
          </cell>
        </row>
        <row r="304">
          <cell r="D304" t="str">
            <v>BoyacaTenza</v>
          </cell>
          <cell r="E304" t="str">
            <v>Bajo</v>
          </cell>
          <cell r="F304">
            <v>15798</v>
          </cell>
        </row>
        <row r="305">
          <cell r="D305" t="str">
            <v>BoyacaTibaná</v>
          </cell>
          <cell r="E305" t="str">
            <v>Bajo</v>
          </cell>
          <cell r="F305">
            <v>15804</v>
          </cell>
        </row>
        <row r="306">
          <cell r="D306" t="str">
            <v>BoyacaTibasosa</v>
          </cell>
          <cell r="E306" t="str">
            <v>Incipiente</v>
          </cell>
          <cell r="F306">
            <v>15806</v>
          </cell>
        </row>
        <row r="307">
          <cell r="D307" t="str">
            <v>BoyacaTinjacá</v>
          </cell>
          <cell r="E307" t="str">
            <v>Bajo</v>
          </cell>
          <cell r="F307">
            <v>15808</v>
          </cell>
        </row>
        <row r="308">
          <cell r="D308" t="str">
            <v>BoyacaTipacoque</v>
          </cell>
          <cell r="E308" t="str">
            <v>Limitado</v>
          </cell>
          <cell r="F308">
            <v>15810</v>
          </cell>
        </row>
        <row r="309">
          <cell r="D309" t="str">
            <v>BoyacaToca</v>
          </cell>
          <cell r="E309" t="str">
            <v>Incipiente</v>
          </cell>
          <cell r="F309">
            <v>15814</v>
          </cell>
        </row>
        <row r="310">
          <cell r="D310" t="str">
            <v>BoyacaTogüí</v>
          </cell>
          <cell r="E310" t="str">
            <v>Bajo</v>
          </cell>
          <cell r="F310">
            <v>15816</v>
          </cell>
        </row>
        <row r="311">
          <cell r="D311" t="str">
            <v>BoyacaTópaga</v>
          </cell>
          <cell r="E311" t="str">
            <v>Bajo</v>
          </cell>
          <cell r="F311">
            <v>15820</v>
          </cell>
        </row>
        <row r="312">
          <cell r="D312" t="str">
            <v>BoyacaTota</v>
          </cell>
          <cell r="E312" t="str">
            <v>Bajo</v>
          </cell>
          <cell r="F312">
            <v>15822</v>
          </cell>
        </row>
        <row r="313">
          <cell r="D313" t="str">
            <v>BoyacaTununguá</v>
          </cell>
          <cell r="E313" t="str">
            <v>Limitado</v>
          </cell>
          <cell r="F313">
            <v>15832</v>
          </cell>
        </row>
        <row r="314">
          <cell r="D314" t="str">
            <v>BoyacaTurmequé</v>
          </cell>
          <cell r="E314" t="str">
            <v>Bajo</v>
          </cell>
          <cell r="F314">
            <v>15835</v>
          </cell>
        </row>
        <row r="315">
          <cell r="D315" t="str">
            <v>BoyacaTuta</v>
          </cell>
          <cell r="E315" t="str">
            <v>Incipiente</v>
          </cell>
          <cell r="F315">
            <v>15837</v>
          </cell>
        </row>
        <row r="316">
          <cell r="D316" t="str">
            <v>BoyacaTutazá</v>
          </cell>
          <cell r="E316" t="str">
            <v>Limitado</v>
          </cell>
          <cell r="F316">
            <v>15839</v>
          </cell>
        </row>
        <row r="317">
          <cell r="D317" t="str">
            <v>BoyacaÚmbita</v>
          </cell>
          <cell r="E317" t="str">
            <v>Limitado</v>
          </cell>
          <cell r="F317">
            <v>15842</v>
          </cell>
        </row>
        <row r="318">
          <cell r="D318" t="str">
            <v>BoyacaVentaquemada</v>
          </cell>
          <cell r="E318" t="str">
            <v>Bajo</v>
          </cell>
          <cell r="F318">
            <v>15861</v>
          </cell>
        </row>
        <row r="319">
          <cell r="D319" t="str">
            <v>BoyacaViracacha</v>
          </cell>
          <cell r="E319" t="str">
            <v>Bajo</v>
          </cell>
          <cell r="F319">
            <v>15879</v>
          </cell>
        </row>
        <row r="320">
          <cell r="D320" t="str">
            <v>BoyacaZetaquira</v>
          </cell>
          <cell r="E320" t="str">
            <v>Bajo</v>
          </cell>
          <cell r="F320">
            <v>15897</v>
          </cell>
        </row>
        <row r="321">
          <cell r="D321" t="str">
            <v>CaldasManizales</v>
          </cell>
          <cell r="E321" t="str">
            <v>Moderado</v>
          </cell>
          <cell r="F321">
            <v>17001</v>
          </cell>
        </row>
        <row r="322">
          <cell r="D322" t="str">
            <v>CaldasAguadas</v>
          </cell>
          <cell r="E322" t="str">
            <v>Bajo</v>
          </cell>
          <cell r="F322">
            <v>17013</v>
          </cell>
        </row>
        <row r="323">
          <cell r="D323" t="str">
            <v>CaldasAnserma</v>
          </cell>
          <cell r="E323" t="str">
            <v>Incipiente</v>
          </cell>
          <cell r="F323">
            <v>17042</v>
          </cell>
        </row>
        <row r="324">
          <cell r="D324" t="str">
            <v>CaldasAranzazu</v>
          </cell>
          <cell r="E324" t="str">
            <v>Bajo</v>
          </cell>
          <cell r="F324">
            <v>17050</v>
          </cell>
        </row>
        <row r="325">
          <cell r="D325" t="str">
            <v>CaldasBelalcázar</v>
          </cell>
          <cell r="E325" t="str">
            <v>Bajo</v>
          </cell>
          <cell r="F325">
            <v>17088</v>
          </cell>
        </row>
        <row r="326">
          <cell r="D326" t="str">
            <v>CaldasChinchiná</v>
          </cell>
          <cell r="E326" t="str">
            <v>Moderado</v>
          </cell>
          <cell r="F326">
            <v>17174</v>
          </cell>
        </row>
        <row r="327">
          <cell r="D327" t="str">
            <v>CaldasFiladelfia</v>
          </cell>
          <cell r="E327" t="str">
            <v>Bajo</v>
          </cell>
          <cell r="F327">
            <v>17272</v>
          </cell>
        </row>
        <row r="328">
          <cell r="D328" t="str">
            <v>CaldasLa Dorada</v>
          </cell>
          <cell r="E328" t="str">
            <v>Moderado</v>
          </cell>
          <cell r="F328">
            <v>17380</v>
          </cell>
        </row>
        <row r="329">
          <cell r="D329" t="str">
            <v>CaldasLa Merced</v>
          </cell>
          <cell r="E329" t="str">
            <v>Bajo</v>
          </cell>
          <cell r="F329">
            <v>17388</v>
          </cell>
        </row>
        <row r="330">
          <cell r="D330" t="str">
            <v>CaldasManzanares</v>
          </cell>
          <cell r="E330" t="str">
            <v>Bajo</v>
          </cell>
          <cell r="F330">
            <v>17433</v>
          </cell>
        </row>
        <row r="331">
          <cell r="D331" t="str">
            <v>CaldasMarmato</v>
          </cell>
          <cell r="E331" t="str">
            <v>Bajo</v>
          </cell>
          <cell r="F331">
            <v>17442</v>
          </cell>
        </row>
        <row r="332">
          <cell r="D332" t="str">
            <v>CaldasMarquetalia</v>
          </cell>
          <cell r="E332" t="str">
            <v>Bajo</v>
          </cell>
          <cell r="F332">
            <v>17444</v>
          </cell>
        </row>
        <row r="333">
          <cell r="D333" t="str">
            <v>CaldasMarulanda</v>
          </cell>
          <cell r="E333" t="str">
            <v>Bajo</v>
          </cell>
          <cell r="F333">
            <v>17446</v>
          </cell>
        </row>
        <row r="334">
          <cell r="D334" t="str">
            <v>CaldasNeira</v>
          </cell>
          <cell r="E334" t="str">
            <v>Incipiente</v>
          </cell>
          <cell r="F334">
            <v>17486</v>
          </cell>
        </row>
        <row r="335">
          <cell r="D335" t="str">
            <v>CaldasNorcasia</v>
          </cell>
          <cell r="E335" t="str">
            <v>Bajo</v>
          </cell>
          <cell r="F335">
            <v>17495</v>
          </cell>
        </row>
        <row r="336">
          <cell r="D336" t="str">
            <v>CaldasPácora</v>
          </cell>
          <cell r="E336" t="str">
            <v>Bajo</v>
          </cell>
          <cell r="F336">
            <v>17513</v>
          </cell>
        </row>
        <row r="337">
          <cell r="D337" t="str">
            <v>CaldasPalestina</v>
          </cell>
          <cell r="E337" t="str">
            <v>Incipiente</v>
          </cell>
          <cell r="F337">
            <v>17524</v>
          </cell>
        </row>
        <row r="338">
          <cell r="D338" t="str">
            <v>CaldasPensilvania</v>
          </cell>
          <cell r="E338" t="str">
            <v>Bajo</v>
          </cell>
          <cell r="F338">
            <v>17541</v>
          </cell>
        </row>
        <row r="339">
          <cell r="D339" t="str">
            <v>CaldasRiosucio</v>
          </cell>
          <cell r="E339" t="str">
            <v>Incipiente</v>
          </cell>
          <cell r="F339">
            <v>17614</v>
          </cell>
        </row>
        <row r="340">
          <cell r="D340" t="str">
            <v>CaldasRisaralda</v>
          </cell>
          <cell r="E340" t="str">
            <v>Incipiente</v>
          </cell>
          <cell r="F340">
            <v>17616</v>
          </cell>
        </row>
        <row r="341">
          <cell r="D341" t="str">
            <v>CaldasSalamina</v>
          </cell>
          <cell r="E341" t="str">
            <v>Incipiente</v>
          </cell>
          <cell r="F341">
            <v>17653</v>
          </cell>
        </row>
        <row r="342">
          <cell r="D342" t="str">
            <v>CaldasSamaná</v>
          </cell>
          <cell r="E342" t="str">
            <v>Limitado</v>
          </cell>
          <cell r="F342">
            <v>17662</v>
          </cell>
        </row>
        <row r="343">
          <cell r="D343" t="str">
            <v>CaldasSan José</v>
          </cell>
          <cell r="E343" t="str">
            <v>Bajo</v>
          </cell>
          <cell r="F343">
            <v>17665</v>
          </cell>
        </row>
        <row r="344">
          <cell r="D344" t="str">
            <v>CaldasSupía</v>
          </cell>
          <cell r="E344" t="str">
            <v>Incipiente</v>
          </cell>
          <cell r="F344">
            <v>17777</v>
          </cell>
        </row>
        <row r="345">
          <cell r="D345" t="str">
            <v>CaldasVictoria</v>
          </cell>
          <cell r="E345" t="str">
            <v>Bajo</v>
          </cell>
          <cell r="F345">
            <v>17867</v>
          </cell>
        </row>
        <row r="346">
          <cell r="D346" t="str">
            <v>CaldasVillamaria</v>
          </cell>
          <cell r="E346" t="str">
            <v>Moderado</v>
          </cell>
          <cell r="F346">
            <v>17873</v>
          </cell>
        </row>
        <row r="347">
          <cell r="D347" t="str">
            <v>CaldasViterbo</v>
          </cell>
          <cell r="E347" t="str">
            <v>Moderado</v>
          </cell>
          <cell r="F347">
            <v>17877</v>
          </cell>
        </row>
        <row r="348">
          <cell r="D348" t="str">
            <v>CaquetaFlorencia</v>
          </cell>
          <cell r="E348" t="str">
            <v>Moderado</v>
          </cell>
          <cell r="F348">
            <v>18001</v>
          </cell>
        </row>
        <row r="349">
          <cell r="D349" t="str">
            <v>CaquetaAlbania</v>
          </cell>
          <cell r="E349" t="str">
            <v>Bajo</v>
          </cell>
          <cell r="F349">
            <v>18029</v>
          </cell>
        </row>
        <row r="350">
          <cell r="D350" t="str">
            <v>CaquetaBelén de Los Andaquíes</v>
          </cell>
          <cell r="E350" t="str">
            <v>Bajo</v>
          </cell>
          <cell r="F350">
            <v>18094</v>
          </cell>
        </row>
        <row r="351">
          <cell r="D351" t="str">
            <v>CaquetaCartagena del Chairá</v>
          </cell>
          <cell r="E351" t="str">
            <v>Bajo</v>
          </cell>
          <cell r="F351">
            <v>18150</v>
          </cell>
        </row>
        <row r="352">
          <cell r="D352" t="str">
            <v>CaquetaCurillo</v>
          </cell>
          <cell r="E352" t="str">
            <v>Bajo</v>
          </cell>
          <cell r="F352">
            <v>18205</v>
          </cell>
        </row>
        <row r="353">
          <cell r="D353" t="str">
            <v>CaquetaEl Doncello</v>
          </cell>
          <cell r="E353" t="str">
            <v>Bajo</v>
          </cell>
          <cell r="F353">
            <v>18247</v>
          </cell>
        </row>
        <row r="354">
          <cell r="D354" t="str">
            <v>CaquetaEl Paujíl</v>
          </cell>
          <cell r="E354" t="str">
            <v>Bajo</v>
          </cell>
          <cell r="F354">
            <v>18256</v>
          </cell>
        </row>
        <row r="355">
          <cell r="D355" t="str">
            <v>CaquetaLa Montañita</v>
          </cell>
          <cell r="E355" t="str">
            <v>Bajo</v>
          </cell>
          <cell r="F355">
            <v>18410</v>
          </cell>
        </row>
        <row r="356">
          <cell r="D356" t="str">
            <v>CaquetaMilán</v>
          </cell>
          <cell r="E356" t="str">
            <v>Limitado</v>
          </cell>
          <cell r="F356">
            <v>18460</v>
          </cell>
        </row>
        <row r="357">
          <cell r="D357" t="str">
            <v>CaquetaMorelia</v>
          </cell>
          <cell r="E357" t="str">
            <v>Bajo</v>
          </cell>
          <cell r="F357">
            <v>18479</v>
          </cell>
        </row>
        <row r="358">
          <cell r="D358" t="str">
            <v>CaquetaPuerto Rico</v>
          </cell>
          <cell r="E358" t="str">
            <v>Bajo</v>
          </cell>
          <cell r="F358">
            <v>18592</v>
          </cell>
        </row>
        <row r="359">
          <cell r="D359" t="str">
            <v>CaquetaSan José del Fragua</v>
          </cell>
          <cell r="E359" t="str">
            <v>Bajo</v>
          </cell>
          <cell r="F359">
            <v>18610</v>
          </cell>
        </row>
        <row r="360">
          <cell r="D360" t="str">
            <v>CaquetaSan Vicente del Caguán</v>
          </cell>
          <cell r="E360" t="str">
            <v>Bajo</v>
          </cell>
          <cell r="F360">
            <v>18753</v>
          </cell>
        </row>
        <row r="361">
          <cell r="D361" t="str">
            <v>CaquetaSolano</v>
          </cell>
          <cell r="E361" t="str">
            <v>Limitado</v>
          </cell>
          <cell r="F361">
            <v>18756</v>
          </cell>
        </row>
        <row r="362">
          <cell r="D362" t="str">
            <v>CaquetaSolita</v>
          </cell>
          <cell r="E362" t="str">
            <v>Limitado</v>
          </cell>
          <cell r="F362">
            <v>18785</v>
          </cell>
        </row>
        <row r="363">
          <cell r="D363" t="str">
            <v>CaquetaValparaíso</v>
          </cell>
          <cell r="E363" t="str">
            <v>Bajo</v>
          </cell>
          <cell r="F363">
            <v>18860</v>
          </cell>
        </row>
        <row r="364">
          <cell r="D364" t="str">
            <v>CaucaPopayan</v>
          </cell>
          <cell r="E364" t="str">
            <v>Moderado</v>
          </cell>
          <cell r="F364">
            <v>19001</v>
          </cell>
        </row>
        <row r="365">
          <cell r="D365" t="str">
            <v>CaucaAlmaguer</v>
          </cell>
          <cell r="E365" t="str">
            <v>Bajo</v>
          </cell>
          <cell r="F365">
            <v>19022</v>
          </cell>
        </row>
        <row r="366">
          <cell r="D366" t="str">
            <v>CaucaArgelia</v>
          </cell>
          <cell r="E366" t="str">
            <v>Limitado</v>
          </cell>
          <cell r="F366">
            <v>19050</v>
          </cell>
        </row>
        <row r="367">
          <cell r="D367" t="str">
            <v>CaucaBalboa</v>
          </cell>
          <cell r="E367" t="str">
            <v>Bajo</v>
          </cell>
          <cell r="F367">
            <v>19075</v>
          </cell>
        </row>
        <row r="368">
          <cell r="D368" t="str">
            <v>CaucaBolívar</v>
          </cell>
          <cell r="E368" t="str">
            <v>Limitado</v>
          </cell>
          <cell r="F368">
            <v>19100</v>
          </cell>
        </row>
        <row r="369">
          <cell r="D369" t="str">
            <v>CaucaBuenos Aires</v>
          </cell>
          <cell r="E369" t="str">
            <v>Limitado</v>
          </cell>
          <cell r="F369">
            <v>19110</v>
          </cell>
        </row>
        <row r="370">
          <cell r="D370" t="str">
            <v>CaucaCajibío</v>
          </cell>
          <cell r="E370" t="str">
            <v>Bajo</v>
          </cell>
          <cell r="F370">
            <v>19130</v>
          </cell>
        </row>
        <row r="371">
          <cell r="D371" t="str">
            <v>CaucaCaldono</v>
          </cell>
          <cell r="E371" t="str">
            <v>Limitado</v>
          </cell>
          <cell r="F371">
            <v>19137</v>
          </cell>
        </row>
        <row r="372">
          <cell r="D372" t="str">
            <v>CaucaCaloto</v>
          </cell>
          <cell r="E372" t="str">
            <v>Bajo</v>
          </cell>
          <cell r="F372">
            <v>19142</v>
          </cell>
        </row>
        <row r="373">
          <cell r="D373" t="str">
            <v>CaucaCorinto</v>
          </cell>
          <cell r="E373" t="str">
            <v>Bajo</v>
          </cell>
          <cell r="F373">
            <v>19212</v>
          </cell>
        </row>
        <row r="374">
          <cell r="D374" t="str">
            <v>CaucaEl Tambo</v>
          </cell>
          <cell r="E374" t="str">
            <v>Bajo</v>
          </cell>
          <cell r="F374">
            <v>19256</v>
          </cell>
        </row>
        <row r="375">
          <cell r="D375" t="str">
            <v>CaucaFlorencia</v>
          </cell>
          <cell r="E375" t="str">
            <v>Limitado</v>
          </cell>
          <cell r="F375">
            <v>19290</v>
          </cell>
        </row>
        <row r="376">
          <cell r="D376" t="str">
            <v>CaucaGuachené</v>
          </cell>
          <cell r="E376" t="str">
            <v>Bajo</v>
          </cell>
          <cell r="F376">
            <v>19300</v>
          </cell>
        </row>
        <row r="377">
          <cell r="D377" t="str">
            <v>CaucaGuapi</v>
          </cell>
          <cell r="E377" t="str">
            <v>Limitado</v>
          </cell>
          <cell r="F377">
            <v>19318</v>
          </cell>
        </row>
        <row r="378">
          <cell r="D378" t="str">
            <v>CaucaInzá</v>
          </cell>
          <cell r="E378" t="str">
            <v>Bajo</v>
          </cell>
          <cell r="F378">
            <v>19355</v>
          </cell>
        </row>
        <row r="379">
          <cell r="D379" t="str">
            <v>CaucaJambaló</v>
          </cell>
          <cell r="E379" t="str">
            <v>Limitado</v>
          </cell>
          <cell r="F379">
            <v>19364</v>
          </cell>
        </row>
        <row r="380">
          <cell r="D380" t="str">
            <v>CaucaLa Sierra</v>
          </cell>
          <cell r="E380" t="str">
            <v>Bajo</v>
          </cell>
          <cell r="F380">
            <v>19392</v>
          </cell>
        </row>
        <row r="381">
          <cell r="D381" t="str">
            <v>CaucaLa Vega</v>
          </cell>
          <cell r="E381" t="str">
            <v>Limitado</v>
          </cell>
          <cell r="F381">
            <v>19397</v>
          </cell>
        </row>
        <row r="382">
          <cell r="D382" t="str">
            <v>CaucaLópez de Micay</v>
          </cell>
          <cell r="E382" t="str">
            <v>Limitado</v>
          </cell>
          <cell r="F382">
            <v>19418</v>
          </cell>
        </row>
        <row r="383">
          <cell r="D383" t="str">
            <v>CaucaMercaderes</v>
          </cell>
          <cell r="E383" t="str">
            <v>Bajo</v>
          </cell>
          <cell r="F383">
            <v>19450</v>
          </cell>
        </row>
        <row r="384">
          <cell r="D384" t="str">
            <v>CaucaMiranda</v>
          </cell>
          <cell r="E384" t="str">
            <v>Incipiente</v>
          </cell>
          <cell r="F384">
            <v>19455</v>
          </cell>
        </row>
        <row r="385">
          <cell r="D385" t="str">
            <v>CaucaMorales</v>
          </cell>
          <cell r="E385" t="str">
            <v>Bajo</v>
          </cell>
          <cell r="F385">
            <v>19473</v>
          </cell>
        </row>
        <row r="386">
          <cell r="D386" t="str">
            <v>CaucaPadilla</v>
          </cell>
          <cell r="E386" t="str">
            <v>Bajo</v>
          </cell>
          <cell r="F386">
            <v>19513</v>
          </cell>
        </row>
        <row r="387">
          <cell r="D387" t="str">
            <v>CaucaPáez</v>
          </cell>
          <cell r="E387" t="str">
            <v>Limitado</v>
          </cell>
          <cell r="F387">
            <v>19517</v>
          </cell>
        </row>
        <row r="388">
          <cell r="D388" t="str">
            <v>CaucaPatía</v>
          </cell>
          <cell r="E388" t="str">
            <v>Incipiente</v>
          </cell>
          <cell r="F388">
            <v>19532</v>
          </cell>
        </row>
        <row r="389">
          <cell r="D389" t="str">
            <v>CaucaPiamonte</v>
          </cell>
          <cell r="E389" t="str">
            <v>Limitado</v>
          </cell>
          <cell r="F389">
            <v>19533</v>
          </cell>
        </row>
        <row r="390">
          <cell r="D390" t="str">
            <v>CaucaPiendamó - Tunía</v>
          </cell>
          <cell r="E390" t="str">
            <v>Incipiente</v>
          </cell>
          <cell r="F390">
            <v>19548</v>
          </cell>
        </row>
        <row r="391">
          <cell r="D391" t="str">
            <v>CaucaPuerto Tejada</v>
          </cell>
          <cell r="E391" t="str">
            <v>Moderado</v>
          </cell>
          <cell r="F391">
            <v>19573</v>
          </cell>
        </row>
        <row r="392">
          <cell r="D392" t="str">
            <v>CaucaPuracé</v>
          </cell>
          <cell r="E392" t="str">
            <v>Bajo</v>
          </cell>
          <cell r="F392">
            <v>19585</v>
          </cell>
        </row>
        <row r="393">
          <cell r="D393" t="str">
            <v>CaucaRosas</v>
          </cell>
          <cell r="E393" t="str">
            <v>Bajo</v>
          </cell>
          <cell r="F393">
            <v>19622</v>
          </cell>
        </row>
        <row r="394">
          <cell r="D394" t="str">
            <v>CaucaSan Sebastián</v>
          </cell>
          <cell r="E394" t="str">
            <v>Limitado</v>
          </cell>
          <cell r="F394">
            <v>19693</v>
          </cell>
        </row>
        <row r="395">
          <cell r="D395" t="str">
            <v>CaucaSantander de Quilichao</v>
          </cell>
          <cell r="E395" t="str">
            <v>Moderado</v>
          </cell>
          <cell r="F395">
            <v>19698</v>
          </cell>
        </row>
        <row r="396">
          <cell r="D396" t="str">
            <v>CaucaSanta Rosa</v>
          </cell>
          <cell r="E396" t="str">
            <v>Limitado</v>
          </cell>
          <cell r="F396">
            <v>19701</v>
          </cell>
        </row>
        <row r="397">
          <cell r="D397" t="str">
            <v>CaucaSilvia</v>
          </cell>
          <cell r="E397" t="str">
            <v>Bajo</v>
          </cell>
          <cell r="F397">
            <v>19743</v>
          </cell>
        </row>
        <row r="398">
          <cell r="D398" t="str">
            <v>CaucaSotará Paispamba</v>
          </cell>
          <cell r="E398" t="str">
            <v>Limitado</v>
          </cell>
          <cell r="F398">
            <v>19760</v>
          </cell>
        </row>
        <row r="399">
          <cell r="D399" t="str">
            <v>CaucaSuárez</v>
          </cell>
          <cell r="E399" t="str">
            <v>Limitado</v>
          </cell>
          <cell r="F399">
            <v>19780</v>
          </cell>
        </row>
        <row r="400">
          <cell r="D400" t="str">
            <v>CaucaSucre</v>
          </cell>
          <cell r="E400" t="str">
            <v>Limitado</v>
          </cell>
          <cell r="F400">
            <v>19785</v>
          </cell>
        </row>
        <row r="401">
          <cell r="D401" t="str">
            <v>CaucaTimbío</v>
          </cell>
          <cell r="E401" t="str">
            <v>Bajo</v>
          </cell>
          <cell r="F401">
            <v>19807</v>
          </cell>
        </row>
        <row r="402">
          <cell r="D402" t="str">
            <v>CaucaTimbiquí</v>
          </cell>
          <cell r="E402" t="str">
            <v>Limitado</v>
          </cell>
          <cell r="F402">
            <v>19809</v>
          </cell>
        </row>
        <row r="403">
          <cell r="D403" t="str">
            <v>CaucaToribío</v>
          </cell>
          <cell r="E403" t="str">
            <v>Limitado</v>
          </cell>
          <cell r="F403">
            <v>19821</v>
          </cell>
        </row>
        <row r="404">
          <cell r="D404" t="str">
            <v>CaucaTotoró</v>
          </cell>
          <cell r="E404" t="str">
            <v>Bajo</v>
          </cell>
          <cell r="F404">
            <v>19824</v>
          </cell>
        </row>
        <row r="405">
          <cell r="D405" t="str">
            <v>CaucaVilla Rica</v>
          </cell>
          <cell r="E405" t="str">
            <v>Bajo</v>
          </cell>
          <cell r="F405">
            <v>19845</v>
          </cell>
        </row>
        <row r="406">
          <cell r="D406" t="str">
            <v>CesarValledupar</v>
          </cell>
          <cell r="E406" t="str">
            <v>Moderado</v>
          </cell>
          <cell r="F406">
            <v>20001</v>
          </cell>
        </row>
        <row r="407">
          <cell r="D407" t="str">
            <v>CesarAguachica</v>
          </cell>
          <cell r="E407" t="str">
            <v>Incipiente</v>
          </cell>
          <cell r="F407">
            <v>20011</v>
          </cell>
        </row>
        <row r="408">
          <cell r="D408" t="str">
            <v>CesarAgustín Codazzi</v>
          </cell>
          <cell r="E408" t="str">
            <v>Incipiente</v>
          </cell>
          <cell r="F408">
            <v>20013</v>
          </cell>
        </row>
        <row r="409">
          <cell r="D409" t="str">
            <v>CesarAstrea</v>
          </cell>
          <cell r="E409" t="str">
            <v>Bajo</v>
          </cell>
          <cell r="F409">
            <v>20032</v>
          </cell>
        </row>
        <row r="410">
          <cell r="D410" t="str">
            <v>CesarBecerril</v>
          </cell>
          <cell r="E410" t="str">
            <v>Bajo</v>
          </cell>
          <cell r="F410">
            <v>20045</v>
          </cell>
        </row>
        <row r="411">
          <cell r="D411" t="str">
            <v>CesarBosconia</v>
          </cell>
          <cell r="E411" t="str">
            <v>Incipiente</v>
          </cell>
          <cell r="F411">
            <v>20060</v>
          </cell>
        </row>
        <row r="412">
          <cell r="D412" t="str">
            <v>CesarChimichagua</v>
          </cell>
          <cell r="E412" t="str">
            <v>Bajo</v>
          </cell>
          <cell r="F412">
            <v>20175</v>
          </cell>
        </row>
        <row r="413">
          <cell r="D413" t="str">
            <v>CesarChiriguaná</v>
          </cell>
          <cell r="E413" t="str">
            <v>Bajo</v>
          </cell>
          <cell r="F413">
            <v>20178</v>
          </cell>
        </row>
        <row r="414">
          <cell r="D414" t="str">
            <v>CesarCurumaní</v>
          </cell>
          <cell r="E414" t="str">
            <v>Incipiente</v>
          </cell>
          <cell r="F414">
            <v>20228</v>
          </cell>
        </row>
        <row r="415">
          <cell r="D415" t="str">
            <v>CesarEl Copey</v>
          </cell>
          <cell r="E415" t="str">
            <v>Limitado</v>
          </cell>
          <cell r="F415">
            <v>20238</v>
          </cell>
        </row>
        <row r="416">
          <cell r="D416" t="str">
            <v>CesarEl Paso</v>
          </cell>
          <cell r="E416" t="str">
            <v>Bajo</v>
          </cell>
          <cell r="F416">
            <v>20250</v>
          </cell>
        </row>
        <row r="417">
          <cell r="D417" t="str">
            <v>CesarGamarra</v>
          </cell>
          <cell r="E417" t="str">
            <v>Bajo</v>
          </cell>
          <cell r="F417">
            <v>20295</v>
          </cell>
        </row>
        <row r="418">
          <cell r="D418" t="str">
            <v>CesarGonzález</v>
          </cell>
          <cell r="E418" t="str">
            <v>Limitado</v>
          </cell>
          <cell r="F418">
            <v>20310</v>
          </cell>
        </row>
        <row r="419">
          <cell r="D419" t="str">
            <v>CesarLa Gloria</v>
          </cell>
          <cell r="E419" t="str">
            <v>Bajo</v>
          </cell>
          <cell r="F419">
            <v>20383</v>
          </cell>
        </row>
        <row r="420">
          <cell r="D420" t="str">
            <v>CesarLa Jagua de Ibirico</v>
          </cell>
          <cell r="E420" t="str">
            <v>Incipiente</v>
          </cell>
          <cell r="F420">
            <v>20400</v>
          </cell>
        </row>
        <row r="421">
          <cell r="D421" t="str">
            <v>CesarManaure Balcón del Cesar</v>
          </cell>
          <cell r="E421" t="str">
            <v>Bajo</v>
          </cell>
          <cell r="F421">
            <v>20443</v>
          </cell>
        </row>
        <row r="422">
          <cell r="D422" t="str">
            <v>CesarPailitas</v>
          </cell>
          <cell r="E422" t="str">
            <v>Bajo</v>
          </cell>
          <cell r="F422">
            <v>20517</v>
          </cell>
        </row>
        <row r="423">
          <cell r="D423" t="str">
            <v>CesarPelaya</v>
          </cell>
          <cell r="E423" t="str">
            <v>Bajo</v>
          </cell>
          <cell r="F423">
            <v>20550</v>
          </cell>
        </row>
        <row r="424">
          <cell r="D424" t="str">
            <v>CesarPueblo Bello</v>
          </cell>
          <cell r="E424" t="str">
            <v>Bajo</v>
          </cell>
          <cell r="F424">
            <v>20570</v>
          </cell>
        </row>
        <row r="425">
          <cell r="D425" t="str">
            <v>CesarRío de Oro</v>
          </cell>
          <cell r="E425" t="str">
            <v>Bajo</v>
          </cell>
          <cell r="F425">
            <v>20614</v>
          </cell>
        </row>
        <row r="426">
          <cell r="D426" t="str">
            <v>CesarLa Paz</v>
          </cell>
          <cell r="E426" t="str">
            <v>Incipiente</v>
          </cell>
          <cell r="F426">
            <v>20621</v>
          </cell>
        </row>
        <row r="427">
          <cell r="D427" t="str">
            <v>CesarSan Alberto</v>
          </cell>
          <cell r="E427" t="str">
            <v>Incipiente</v>
          </cell>
          <cell r="F427">
            <v>20710</v>
          </cell>
        </row>
        <row r="428">
          <cell r="D428" t="str">
            <v>CesarSan Diego</v>
          </cell>
          <cell r="E428" t="str">
            <v>Bajo</v>
          </cell>
          <cell r="F428">
            <v>20750</v>
          </cell>
        </row>
        <row r="429">
          <cell r="D429" t="str">
            <v>CesarSan Martín</v>
          </cell>
          <cell r="E429" t="str">
            <v>Bajo</v>
          </cell>
          <cell r="F429">
            <v>20770</v>
          </cell>
        </row>
        <row r="430">
          <cell r="D430" t="str">
            <v>CesarTamalameque</v>
          </cell>
          <cell r="E430" t="str">
            <v>Bajo</v>
          </cell>
          <cell r="F430">
            <v>20787</v>
          </cell>
        </row>
        <row r="431">
          <cell r="D431" t="str">
            <v>CordobaMonteria</v>
          </cell>
          <cell r="E431" t="str">
            <v>Moderado</v>
          </cell>
          <cell r="F431">
            <v>23001</v>
          </cell>
        </row>
        <row r="432">
          <cell r="D432" t="str">
            <v>CordobaAyapel</v>
          </cell>
          <cell r="E432" t="str">
            <v>Incipiente</v>
          </cell>
          <cell r="F432">
            <v>23068</v>
          </cell>
        </row>
        <row r="433">
          <cell r="D433" t="str">
            <v>CordobaBuenavista</v>
          </cell>
          <cell r="E433" t="str">
            <v>Bajo</v>
          </cell>
          <cell r="F433">
            <v>23079</v>
          </cell>
        </row>
        <row r="434">
          <cell r="D434" t="str">
            <v>CordobaCanalete</v>
          </cell>
          <cell r="E434" t="str">
            <v>Limitado</v>
          </cell>
          <cell r="F434">
            <v>23090</v>
          </cell>
        </row>
        <row r="435">
          <cell r="D435" t="str">
            <v>CordobaCerete</v>
          </cell>
          <cell r="E435" t="str">
            <v>Incipiente</v>
          </cell>
          <cell r="F435">
            <v>23162</v>
          </cell>
        </row>
        <row r="436">
          <cell r="D436" t="str">
            <v>CordobaChimá</v>
          </cell>
          <cell r="E436" t="str">
            <v>Bajo</v>
          </cell>
          <cell r="F436">
            <v>23168</v>
          </cell>
        </row>
        <row r="437">
          <cell r="D437" t="str">
            <v>CordobaChinú</v>
          </cell>
          <cell r="E437" t="str">
            <v>Incipiente</v>
          </cell>
          <cell r="F437">
            <v>23182</v>
          </cell>
        </row>
        <row r="438">
          <cell r="D438" t="str">
            <v>CordobaCiénaga de Oro</v>
          </cell>
          <cell r="E438" t="str">
            <v>Bajo</v>
          </cell>
          <cell r="F438">
            <v>23189</v>
          </cell>
        </row>
        <row r="439">
          <cell r="D439" t="str">
            <v>CordobaCotorra</v>
          </cell>
          <cell r="E439" t="str">
            <v>Bajo</v>
          </cell>
          <cell r="F439">
            <v>23300</v>
          </cell>
        </row>
        <row r="440">
          <cell r="D440" t="str">
            <v>CordobaLa Apartada</v>
          </cell>
          <cell r="E440" t="str">
            <v>Incipiente</v>
          </cell>
          <cell r="F440">
            <v>23350</v>
          </cell>
        </row>
        <row r="441">
          <cell r="D441" t="str">
            <v>CordobaLorica</v>
          </cell>
          <cell r="E441" t="str">
            <v>Incipiente</v>
          </cell>
          <cell r="F441">
            <v>23417</v>
          </cell>
        </row>
        <row r="442">
          <cell r="D442" t="str">
            <v>CordobaLos Córdobas</v>
          </cell>
          <cell r="E442" t="str">
            <v>Limitado</v>
          </cell>
          <cell r="F442">
            <v>23419</v>
          </cell>
        </row>
        <row r="443">
          <cell r="D443" t="str">
            <v>CordobaMomil</v>
          </cell>
          <cell r="E443" t="str">
            <v>Bajo</v>
          </cell>
          <cell r="F443">
            <v>23464</v>
          </cell>
        </row>
        <row r="444">
          <cell r="D444" t="str">
            <v>CordobaMontelíbano</v>
          </cell>
          <cell r="E444" t="str">
            <v>Incipiente</v>
          </cell>
          <cell r="F444">
            <v>23466</v>
          </cell>
        </row>
        <row r="445">
          <cell r="D445" t="str">
            <v>CordobaMoñitos</v>
          </cell>
          <cell r="E445" t="str">
            <v>Bajo</v>
          </cell>
          <cell r="F445">
            <v>23500</v>
          </cell>
        </row>
        <row r="446">
          <cell r="D446" t="str">
            <v>CordobaPlaneta Rica</v>
          </cell>
          <cell r="E446" t="str">
            <v>Incipiente</v>
          </cell>
          <cell r="F446">
            <v>23555</v>
          </cell>
        </row>
        <row r="447">
          <cell r="D447" t="str">
            <v>CordobaPueblo Nuevo</v>
          </cell>
          <cell r="E447" t="str">
            <v>Bajo</v>
          </cell>
          <cell r="F447">
            <v>23570</v>
          </cell>
        </row>
        <row r="448">
          <cell r="D448" t="str">
            <v>CordobaPuerto Escondido</v>
          </cell>
          <cell r="E448" t="str">
            <v>Bajo</v>
          </cell>
          <cell r="F448">
            <v>23574</v>
          </cell>
        </row>
        <row r="449">
          <cell r="D449" t="str">
            <v>CordobaPuerto Libertador</v>
          </cell>
          <cell r="E449" t="str">
            <v>Bajo</v>
          </cell>
          <cell r="F449">
            <v>23580</v>
          </cell>
        </row>
        <row r="450">
          <cell r="D450" t="str">
            <v>CordobaPurísima de La Concepción</v>
          </cell>
          <cell r="E450" t="str">
            <v>Bajo</v>
          </cell>
          <cell r="F450">
            <v>23586</v>
          </cell>
        </row>
        <row r="451">
          <cell r="D451" t="str">
            <v>CordobaSahagún</v>
          </cell>
          <cell r="E451" t="str">
            <v>Incipiente</v>
          </cell>
          <cell r="F451">
            <v>23660</v>
          </cell>
        </row>
        <row r="452">
          <cell r="D452" t="str">
            <v>CordobaSan Andrés Sotavento</v>
          </cell>
          <cell r="E452" t="str">
            <v>Bajo</v>
          </cell>
          <cell r="F452">
            <v>23670</v>
          </cell>
        </row>
        <row r="453">
          <cell r="D453" t="str">
            <v>CordobaSan Antero</v>
          </cell>
          <cell r="E453" t="str">
            <v>Incipiente</v>
          </cell>
          <cell r="F453">
            <v>23672</v>
          </cell>
        </row>
        <row r="454">
          <cell r="D454" t="str">
            <v>CordobaSan Bernardo del Viento</v>
          </cell>
          <cell r="E454" t="str">
            <v>Bajo</v>
          </cell>
          <cell r="F454">
            <v>23675</v>
          </cell>
        </row>
        <row r="455">
          <cell r="D455" t="str">
            <v>CordobaSan Carlos</v>
          </cell>
          <cell r="E455" t="str">
            <v>Bajo</v>
          </cell>
          <cell r="F455">
            <v>23678</v>
          </cell>
        </row>
        <row r="456">
          <cell r="D456" t="str">
            <v>CordobaSan José de Uré</v>
          </cell>
          <cell r="E456" t="str">
            <v>Limitado</v>
          </cell>
          <cell r="F456">
            <v>23682</v>
          </cell>
        </row>
        <row r="457">
          <cell r="D457" t="str">
            <v>CordobaSan Pelayo</v>
          </cell>
          <cell r="E457" t="str">
            <v>Bajo</v>
          </cell>
          <cell r="F457">
            <v>23686</v>
          </cell>
        </row>
        <row r="458">
          <cell r="D458" t="str">
            <v>CordobaTierralta</v>
          </cell>
          <cell r="E458" t="str">
            <v>Incipiente</v>
          </cell>
          <cell r="F458">
            <v>23807</v>
          </cell>
        </row>
        <row r="459">
          <cell r="D459" t="str">
            <v>CordobaTuchín</v>
          </cell>
          <cell r="E459" t="str">
            <v>Limitado</v>
          </cell>
          <cell r="F459">
            <v>23815</v>
          </cell>
        </row>
        <row r="460">
          <cell r="D460" t="str">
            <v>CordobaValencia</v>
          </cell>
          <cell r="E460" t="str">
            <v>Bajo</v>
          </cell>
          <cell r="F460">
            <v>23855</v>
          </cell>
        </row>
        <row r="461">
          <cell r="D461" t="str">
            <v>CundinamarcaAgua de Dios</v>
          </cell>
          <cell r="E461" t="str">
            <v>Incipiente</v>
          </cell>
          <cell r="F461">
            <v>25001</v>
          </cell>
        </row>
        <row r="462">
          <cell r="D462" t="str">
            <v>CundinamarcaAlbán</v>
          </cell>
          <cell r="E462" t="str">
            <v>Bajo</v>
          </cell>
          <cell r="F462">
            <v>25019</v>
          </cell>
        </row>
        <row r="463">
          <cell r="D463" t="str">
            <v>CundinamarcaAnapoima</v>
          </cell>
          <cell r="E463" t="str">
            <v>Incipiente</v>
          </cell>
          <cell r="F463">
            <v>25035</v>
          </cell>
        </row>
        <row r="464">
          <cell r="D464" t="str">
            <v>CundinamarcaAnolaima</v>
          </cell>
          <cell r="E464" t="str">
            <v>Bajo</v>
          </cell>
          <cell r="F464">
            <v>25040</v>
          </cell>
        </row>
        <row r="465">
          <cell r="D465" t="str">
            <v>CundinamarcaArbeláez</v>
          </cell>
          <cell r="E465" t="str">
            <v>Incipiente</v>
          </cell>
          <cell r="F465">
            <v>25053</v>
          </cell>
        </row>
        <row r="466">
          <cell r="D466" t="str">
            <v>CundinamarcaBeltrán</v>
          </cell>
          <cell r="E466" t="str">
            <v>Bajo</v>
          </cell>
          <cell r="F466">
            <v>25086</v>
          </cell>
        </row>
        <row r="467">
          <cell r="D467" t="str">
            <v>CundinamarcaBituima</v>
          </cell>
          <cell r="E467" t="str">
            <v>Bajo</v>
          </cell>
          <cell r="F467">
            <v>25095</v>
          </cell>
        </row>
        <row r="468">
          <cell r="D468" t="str">
            <v>CundinamarcaBojacá</v>
          </cell>
          <cell r="E468" t="str">
            <v>Incipiente</v>
          </cell>
          <cell r="F468">
            <v>25099</v>
          </cell>
        </row>
        <row r="469">
          <cell r="D469" t="str">
            <v>CundinamarcaCabrera</v>
          </cell>
          <cell r="E469" t="str">
            <v>Bajo</v>
          </cell>
          <cell r="F469">
            <v>25120</v>
          </cell>
        </row>
        <row r="470">
          <cell r="D470" t="str">
            <v>CundinamarcaCachipay</v>
          </cell>
          <cell r="E470" t="str">
            <v>Bajo</v>
          </cell>
          <cell r="F470">
            <v>25123</v>
          </cell>
        </row>
        <row r="471">
          <cell r="D471" t="str">
            <v>CundinamarcaCajica</v>
          </cell>
          <cell r="E471" t="str">
            <v>Moderado</v>
          </cell>
          <cell r="F471">
            <v>25126</v>
          </cell>
        </row>
        <row r="472">
          <cell r="D472" t="str">
            <v>CundinamarcaCaparrapí</v>
          </cell>
          <cell r="E472" t="str">
            <v>Bajo</v>
          </cell>
          <cell r="F472">
            <v>25148</v>
          </cell>
        </row>
        <row r="473">
          <cell r="D473" t="str">
            <v>CundinamarcaCáqueza</v>
          </cell>
          <cell r="E473" t="str">
            <v>Incipiente</v>
          </cell>
          <cell r="F473">
            <v>25151</v>
          </cell>
        </row>
        <row r="474">
          <cell r="D474" t="str">
            <v>CundinamarcaCarmen de Carupa</v>
          </cell>
          <cell r="E474" t="str">
            <v>Bajo</v>
          </cell>
          <cell r="F474">
            <v>25154</v>
          </cell>
        </row>
        <row r="475">
          <cell r="D475" t="str">
            <v>CundinamarcaChaguaní</v>
          </cell>
          <cell r="E475" t="str">
            <v>Bajo</v>
          </cell>
          <cell r="F475">
            <v>25168</v>
          </cell>
        </row>
        <row r="476">
          <cell r="D476" t="str">
            <v>CundinamarcaChia</v>
          </cell>
          <cell r="E476" t="str">
            <v>Moderado</v>
          </cell>
          <cell r="F476">
            <v>25175</v>
          </cell>
        </row>
        <row r="477">
          <cell r="D477" t="str">
            <v>CundinamarcaChipaque</v>
          </cell>
          <cell r="E477" t="str">
            <v>Bajo</v>
          </cell>
          <cell r="F477">
            <v>25178</v>
          </cell>
        </row>
        <row r="478">
          <cell r="D478" t="str">
            <v>CundinamarcaChoachí</v>
          </cell>
          <cell r="E478" t="str">
            <v>Incipiente</v>
          </cell>
          <cell r="F478">
            <v>25181</v>
          </cell>
        </row>
        <row r="479">
          <cell r="D479" t="str">
            <v>CundinamarcaChocontá</v>
          </cell>
          <cell r="E479" t="str">
            <v>Incipiente</v>
          </cell>
          <cell r="F479">
            <v>25183</v>
          </cell>
        </row>
        <row r="480">
          <cell r="D480" t="str">
            <v>CundinamarcaCogua</v>
          </cell>
          <cell r="E480" t="str">
            <v>Incipiente</v>
          </cell>
          <cell r="F480">
            <v>25200</v>
          </cell>
        </row>
        <row r="481">
          <cell r="D481" t="str">
            <v>CundinamarcaCota</v>
          </cell>
          <cell r="E481" t="str">
            <v>Moderado</v>
          </cell>
          <cell r="F481">
            <v>25214</v>
          </cell>
        </row>
        <row r="482">
          <cell r="D482" t="str">
            <v>CundinamarcaCucunubá</v>
          </cell>
          <cell r="E482" t="str">
            <v>Bajo</v>
          </cell>
          <cell r="F482">
            <v>25224</v>
          </cell>
        </row>
        <row r="483">
          <cell r="D483" t="str">
            <v>CundinamarcaEl Colegio</v>
          </cell>
          <cell r="E483" t="str">
            <v>Incipiente</v>
          </cell>
          <cell r="F483">
            <v>25245</v>
          </cell>
        </row>
        <row r="484">
          <cell r="D484" t="str">
            <v>CundinamarcaEl Peñón</v>
          </cell>
          <cell r="E484" t="str">
            <v>Bajo</v>
          </cell>
          <cell r="F484">
            <v>25258</v>
          </cell>
        </row>
        <row r="485">
          <cell r="D485" t="str">
            <v>CundinamarcaEl Rosal</v>
          </cell>
          <cell r="E485" t="str">
            <v>Incipiente</v>
          </cell>
          <cell r="F485">
            <v>25260</v>
          </cell>
        </row>
        <row r="486">
          <cell r="D486" t="str">
            <v>CundinamarcaFacatativa</v>
          </cell>
          <cell r="E486" t="str">
            <v>Moderado</v>
          </cell>
          <cell r="F486">
            <v>25269</v>
          </cell>
        </row>
        <row r="487">
          <cell r="D487" t="str">
            <v>CundinamarcaFómeque</v>
          </cell>
          <cell r="E487" t="str">
            <v>Bajo</v>
          </cell>
          <cell r="F487">
            <v>25279</v>
          </cell>
        </row>
        <row r="488">
          <cell r="D488" t="str">
            <v>CundinamarcaFosca</v>
          </cell>
          <cell r="E488" t="str">
            <v>Bajo</v>
          </cell>
          <cell r="F488">
            <v>25281</v>
          </cell>
        </row>
        <row r="489">
          <cell r="D489" t="str">
            <v>CundinamarcaFunza</v>
          </cell>
          <cell r="E489" t="str">
            <v>Moderado</v>
          </cell>
          <cell r="F489">
            <v>25286</v>
          </cell>
        </row>
        <row r="490">
          <cell r="D490" t="str">
            <v>CundinamarcaFúquene</v>
          </cell>
          <cell r="E490" t="str">
            <v>Bajo</v>
          </cell>
          <cell r="F490">
            <v>25288</v>
          </cell>
        </row>
        <row r="491">
          <cell r="D491" t="str">
            <v>CundinamarcaFusagasuga</v>
          </cell>
          <cell r="E491" t="str">
            <v>Moderado</v>
          </cell>
          <cell r="F491">
            <v>25290</v>
          </cell>
        </row>
        <row r="492">
          <cell r="D492" t="str">
            <v>CundinamarcaGachalá</v>
          </cell>
          <cell r="E492" t="str">
            <v>Bajo</v>
          </cell>
          <cell r="F492">
            <v>25293</v>
          </cell>
        </row>
        <row r="493">
          <cell r="D493" t="str">
            <v>CundinamarcaGachancipá</v>
          </cell>
          <cell r="E493" t="str">
            <v>Incipiente</v>
          </cell>
          <cell r="F493">
            <v>25295</v>
          </cell>
        </row>
        <row r="494">
          <cell r="D494" t="str">
            <v>CundinamarcaGachetá</v>
          </cell>
          <cell r="E494" t="str">
            <v>Bajo</v>
          </cell>
          <cell r="F494">
            <v>25297</v>
          </cell>
        </row>
        <row r="495">
          <cell r="D495" t="str">
            <v>CundinamarcaGama</v>
          </cell>
          <cell r="E495" t="str">
            <v>Bajo</v>
          </cell>
          <cell r="F495">
            <v>25299</v>
          </cell>
        </row>
        <row r="496">
          <cell r="D496" t="str">
            <v>CundinamarcaGirardot</v>
          </cell>
          <cell r="E496" t="str">
            <v>Moderado</v>
          </cell>
          <cell r="F496">
            <v>25307</v>
          </cell>
        </row>
        <row r="497">
          <cell r="D497" t="str">
            <v>CundinamarcaGranada</v>
          </cell>
          <cell r="E497" t="str">
            <v>Bajo</v>
          </cell>
          <cell r="F497">
            <v>25312</v>
          </cell>
        </row>
        <row r="498">
          <cell r="D498" t="str">
            <v>CundinamarcaGuachetá</v>
          </cell>
          <cell r="E498" t="str">
            <v>Incipiente</v>
          </cell>
          <cell r="F498">
            <v>25317</v>
          </cell>
        </row>
        <row r="499">
          <cell r="D499" t="str">
            <v>CundinamarcaGuaduas</v>
          </cell>
          <cell r="E499" t="str">
            <v>Incipiente</v>
          </cell>
          <cell r="F499">
            <v>25320</v>
          </cell>
        </row>
        <row r="500">
          <cell r="D500" t="str">
            <v>CundinamarcaGuasca</v>
          </cell>
          <cell r="E500" t="str">
            <v>Incipiente</v>
          </cell>
          <cell r="F500">
            <v>25322</v>
          </cell>
        </row>
        <row r="501">
          <cell r="D501" t="str">
            <v>CundinamarcaGuataquí</v>
          </cell>
          <cell r="E501" t="str">
            <v>Bajo</v>
          </cell>
          <cell r="F501">
            <v>25324</v>
          </cell>
        </row>
        <row r="502">
          <cell r="D502" t="str">
            <v>CundinamarcaGuatavita</v>
          </cell>
          <cell r="E502" t="str">
            <v>Bajo</v>
          </cell>
          <cell r="F502">
            <v>25326</v>
          </cell>
        </row>
        <row r="503">
          <cell r="D503" t="str">
            <v>CundinamarcaGuayabal de Síquima</v>
          </cell>
          <cell r="E503" t="str">
            <v>Bajo</v>
          </cell>
          <cell r="F503">
            <v>25328</v>
          </cell>
        </row>
        <row r="504">
          <cell r="D504" t="str">
            <v>CundinamarcaGuayabetal</v>
          </cell>
          <cell r="E504" t="str">
            <v>Bajo</v>
          </cell>
          <cell r="F504">
            <v>25335</v>
          </cell>
        </row>
        <row r="505">
          <cell r="D505" t="str">
            <v>CundinamarcaGutiérrez</v>
          </cell>
          <cell r="E505" t="str">
            <v>Bajo</v>
          </cell>
          <cell r="F505">
            <v>25339</v>
          </cell>
        </row>
        <row r="506">
          <cell r="D506" t="str">
            <v>CundinamarcaJerusalén</v>
          </cell>
          <cell r="E506" t="str">
            <v>Limitado</v>
          </cell>
          <cell r="F506">
            <v>25368</v>
          </cell>
        </row>
        <row r="507">
          <cell r="D507" t="str">
            <v>CundinamarcaJunín</v>
          </cell>
          <cell r="E507" t="str">
            <v>Bajo</v>
          </cell>
          <cell r="F507">
            <v>25372</v>
          </cell>
        </row>
        <row r="508">
          <cell r="D508" t="str">
            <v>CundinamarcaLa Calera</v>
          </cell>
          <cell r="E508" t="str">
            <v>Moderado</v>
          </cell>
          <cell r="F508">
            <v>25377</v>
          </cell>
        </row>
        <row r="509">
          <cell r="D509" t="str">
            <v>CundinamarcaLa Mesa</v>
          </cell>
          <cell r="E509" t="str">
            <v>Moderado</v>
          </cell>
          <cell r="F509">
            <v>25386</v>
          </cell>
        </row>
        <row r="510">
          <cell r="D510" t="str">
            <v>CundinamarcaLa Palma</v>
          </cell>
          <cell r="E510" t="str">
            <v>Bajo</v>
          </cell>
          <cell r="F510">
            <v>25394</v>
          </cell>
        </row>
        <row r="511">
          <cell r="D511" t="str">
            <v>CundinamarcaLa Peña</v>
          </cell>
          <cell r="E511" t="str">
            <v>Bajo</v>
          </cell>
          <cell r="F511">
            <v>25398</v>
          </cell>
        </row>
        <row r="512">
          <cell r="D512" t="str">
            <v>CundinamarcaLa Vega</v>
          </cell>
          <cell r="E512" t="str">
            <v>Incipiente</v>
          </cell>
          <cell r="F512">
            <v>25402</v>
          </cell>
        </row>
        <row r="513">
          <cell r="D513" t="str">
            <v>CundinamarcaLenguazaque</v>
          </cell>
          <cell r="E513" t="str">
            <v>Bajo</v>
          </cell>
          <cell r="F513">
            <v>25407</v>
          </cell>
        </row>
        <row r="514">
          <cell r="D514" t="str">
            <v>CundinamarcaMachetá</v>
          </cell>
          <cell r="E514" t="str">
            <v>Bajo</v>
          </cell>
          <cell r="F514">
            <v>25426</v>
          </cell>
        </row>
        <row r="515">
          <cell r="D515" t="str">
            <v>CundinamarcaMadrid</v>
          </cell>
          <cell r="E515" t="str">
            <v>Moderado</v>
          </cell>
          <cell r="F515">
            <v>25430</v>
          </cell>
        </row>
        <row r="516">
          <cell r="D516" t="str">
            <v>CundinamarcaManta</v>
          </cell>
          <cell r="E516" t="str">
            <v>Bajo</v>
          </cell>
          <cell r="F516">
            <v>25436</v>
          </cell>
        </row>
        <row r="517">
          <cell r="D517" t="str">
            <v>CundinamarcaMedina</v>
          </cell>
          <cell r="E517" t="str">
            <v>Bajo</v>
          </cell>
          <cell r="F517">
            <v>25438</v>
          </cell>
        </row>
        <row r="518">
          <cell r="D518" t="str">
            <v>CundinamarcaMosquera</v>
          </cell>
          <cell r="E518" t="str">
            <v>Moderado</v>
          </cell>
          <cell r="F518">
            <v>25473</v>
          </cell>
        </row>
        <row r="519">
          <cell r="D519" t="str">
            <v>CundinamarcaNariño</v>
          </cell>
          <cell r="E519" t="str">
            <v>Bajo</v>
          </cell>
          <cell r="F519">
            <v>25483</v>
          </cell>
        </row>
        <row r="520">
          <cell r="D520" t="str">
            <v>CundinamarcaNemocón</v>
          </cell>
          <cell r="E520" t="str">
            <v>Incipiente</v>
          </cell>
          <cell r="F520">
            <v>25486</v>
          </cell>
        </row>
        <row r="521">
          <cell r="D521" t="str">
            <v>CundinamarcaNilo</v>
          </cell>
          <cell r="E521" t="str">
            <v>Bajo</v>
          </cell>
          <cell r="F521">
            <v>25488</v>
          </cell>
        </row>
        <row r="522">
          <cell r="D522" t="str">
            <v>CundinamarcaNimaima</v>
          </cell>
          <cell r="E522" t="str">
            <v>Bajo</v>
          </cell>
          <cell r="F522">
            <v>25489</v>
          </cell>
        </row>
        <row r="523">
          <cell r="D523" t="str">
            <v>CundinamarcaNocaima</v>
          </cell>
          <cell r="E523" t="str">
            <v>Bajo</v>
          </cell>
          <cell r="F523">
            <v>25491</v>
          </cell>
        </row>
        <row r="524">
          <cell r="D524" t="str">
            <v>CundinamarcaVenecia</v>
          </cell>
          <cell r="E524" t="str">
            <v>Bajo</v>
          </cell>
          <cell r="F524">
            <v>25506</v>
          </cell>
        </row>
        <row r="525">
          <cell r="D525" t="str">
            <v>CundinamarcaPacho</v>
          </cell>
          <cell r="E525" t="str">
            <v>Incipiente</v>
          </cell>
          <cell r="F525">
            <v>25513</v>
          </cell>
        </row>
        <row r="526">
          <cell r="D526" t="str">
            <v>CundinamarcaPaime</v>
          </cell>
          <cell r="E526" t="str">
            <v>Bajo</v>
          </cell>
          <cell r="F526">
            <v>25518</v>
          </cell>
        </row>
        <row r="527">
          <cell r="D527" t="str">
            <v>CundinamarcaPandi</v>
          </cell>
          <cell r="E527" t="str">
            <v>Bajo</v>
          </cell>
          <cell r="F527">
            <v>25524</v>
          </cell>
        </row>
        <row r="528">
          <cell r="D528" t="str">
            <v>CundinamarcaParatebueno</v>
          </cell>
          <cell r="E528" t="str">
            <v>Bajo</v>
          </cell>
          <cell r="F528">
            <v>25530</v>
          </cell>
        </row>
        <row r="529">
          <cell r="D529" t="str">
            <v>CundinamarcaPasca</v>
          </cell>
          <cell r="E529" t="str">
            <v>Bajo</v>
          </cell>
          <cell r="F529">
            <v>25535</v>
          </cell>
        </row>
        <row r="530">
          <cell r="D530" t="str">
            <v>CundinamarcaPuerto Salgar</v>
          </cell>
          <cell r="E530" t="str">
            <v>Incipiente</v>
          </cell>
          <cell r="F530">
            <v>25572</v>
          </cell>
        </row>
        <row r="531">
          <cell r="D531" t="str">
            <v>CundinamarcaPulí</v>
          </cell>
          <cell r="E531" t="str">
            <v>Limitado</v>
          </cell>
          <cell r="F531">
            <v>25580</v>
          </cell>
        </row>
        <row r="532">
          <cell r="D532" t="str">
            <v>CundinamarcaQuebradanegra</v>
          </cell>
          <cell r="E532" t="str">
            <v>Bajo</v>
          </cell>
          <cell r="F532">
            <v>25592</v>
          </cell>
        </row>
        <row r="533">
          <cell r="D533" t="str">
            <v>CundinamarcaQuetame</v>
          </cell>
          <cell r="E533" t="str">
            <v>Bajo</v>
          </cell>
          <cell r="F533">
            <v>25594</v>
          </cell>
        </row>
        <row r="534">
          <cell r="D534" t="str">
            <v>CundinamarcaQuipile</v>
          </cell>
          <cell r="E534" t="str">
            <v>Bajo</v>
          </cell>
          <cell r="F534">
            <v>25596</v>
          </cell>
        </row>
        <row r="535">
          <cell r="D535" t="str">
            <v>CundinamarcaApulo</v>
          </cell>
          <cell r="E535" t="str">
            <v>Incipiente</v>
          </cell>
          <cell r="F535">
            <v>25599</v>
          </cell>
        </row>
        <row r="536">
          <cell r="D536" t="str">
            <v>CundinamarcaRicaurte</v>
          </cell>
          <cell r="E536" t="str">
            <v>Incipiente</v>
          </cell>
          <cell r="F536">
            <v>25612</v>
          </cell>
        </row>
        <row r="537">
          <cell r="D537" t="str">
            <v>CundinamarcaSan Antonio del Tequendama</v>
          </cell>
          <cell r="E537" t="str">
            <v>Bajo</v>
          </cell>
          <cell r="F537">
            <v>25645</v>
          </cell>
        </row>
        <row r="538">
          <cell r="D538" t="str">
            <v>CundinamarcaSan Bernardo</v>
          </cell>
          <cell r="E538" t="str">
            <v>Bajo</v>
          </cell>
          <cell r="F538">
            <v>25649</v>
          </cell>
        </row>
        <row r="539">
          <cell r="D539" t="str">
            <v>CundinamarcaSan Cayetano</v>
          </cell>
          <cell r="E539" t="str">
            <v>Limitado</v>
          </cell>
          <cell r="F539">
            <v>25653</v>
          </cell>
        </row>
        <row r="540">
          <cell r="D540" t="str">
            <v>CundinamarcaSan Francisco</v>
          </cell>
          <cell r="E540" t="str">
            <v>Bajo</v>
          </cell>
          <cell r="F540">
            <v>25658</v>
          </cell>
        </row>
        <row r="541">
          <cell r="D541" t="str">
            <v>CundinamarcaSan Juan de Rioseco</v>
          </cell>
          <cell r="E541" t="str">
            <v>Bajo</v>
          </cell>
          <cell r="F541">
            <v>25662</v>
          </cell>
        </row>
        <row r="542">
          <cell r="D542" t="str">
            <v>CundinamarcaSasaima</v>
          </cell>
          <cell r="E542" t="str">
            <v>Bajo</v>
          </cell>
          <cell r="F542">
            <v>25718</v>
          </cell>
        </row>
        <row r="543">
          <cell r="D543" t="str">
            <v>CundinamarcaSesquilé</v>
          </cell>
          <cell r="E543" t="str">
            <v>Incipiente</v>
          </cell>
          <cell r="F543">
            <v>25736</v>
          </cell>
        </row>
        <row r="544">
          <cell r="D544" t="str">
            <v>CundinamarcaSibate</v>
          </cell>
          <cell r="E544" t="str">
            <v>Moderado</v>
          </cell>
          <cell r="F544">
            <v>25740</v>
          </cell>
        </row>
        <row r="545">
          <cell r="D545" t="str">
            <v>CundinamarcaSilvania</v>
          </cell>
          <cell r="E545" t="str">
            <v>Incipiente</v>
          </cell>
          <cell r="F545">
            <v>25743</v>
          </cell>
        </row>
        <row r="546">
          <cell r="D546" t="str">
            <v>CundinamarcaSimijaca</v>
          </cell>
          <cell r="E546" t="str">
            <v>Bajo</v>
          </cell>
          <cell r="F546">
            <v>25745</v>
          </cell>
        </row>
        <row r="547">
          <cell r="D547" t="str">
            <v>CundinamarcaSoacha</v>
          </cell>
          <cell r="E547" t="str">
            <v>Alto</v>
          </cell>
          <cell r="F547">
            <v>25754</v>
          </cell>
        </row>
        <row r="548">
          <cell r="D548" t="str">
            <v>CundinamarcaSopo</v>
          </cell>
          <cell r="E548" t="str">
            <v>Moderado</v>
          </cell>
          <cell r="F548">
            <v>25758</v>
          </cell>
        </row>
        <row r="549">
          <cell r="D549" t="str">
            <v>CundinamarcaSubachoque</v>
          </cell>
          <cell r="E549" t="str">
            <v>Incipiente</v>
          </cell>
          <cell r="F549">
            <v>25769</v>
          </cell>
        </row>
        <row r="550">
          <cell r="D550" t="str">
            <v>CundinamarcaSuesca</v>
          </cell>
          <cell r="E550" t="str">
            <v>Bajo</v>
          </cell>
          <cell r="F550">
            <v>25772</v>
          </cell>
        </row>
        <row r="551">
          <cell r="D551" t="str">
            <v>CundinamarcaSupatá</v>
          </cell>
          <cell r="E551" t="str">
            <v>Bajo</v>
          </cell>
          <cell r="F551">
            <v>25777</v>
          </cell>
        </row>
        <row r="552">
          <cell r="D552" t="str">
            <v>CundinamarcaSusa</v>
          </cell>
          <cell r="E552" t="str">
            <v>Bajo</v>
          </cell>
          <cell r="F552">
            <v>25779</v>
          </cell>
        </row>
        <row r="553">
          <cell r="D553" t="str">
            <v>CundinamarcaSutatausa</v>
          </cell>
          <cell r="E553" t="str">
            <v>Bajo</v>
          </cell>
          <cell r="F553">
            <v>25781</v>
          </cell>
        </row>
        <row r="554">
          <cell r="D554" t="str">
            <v>CundinamarcaTabio</v>
          </cell>
          <cell r="E554" t="str">
            <v>Moderado</v>
          </cell>
          <cell r="F554">
            <v>25785</v>
          </cell>
        </row>
        <row r="555">
          <cell r="D555" t="str">
            <v>CundinamarcaTausa</v>
          </cell>
          <cell r="E555" t="str">
            <v>Bajo</v>
          </cell>
          <cell r="F555">
            <v>25793</v>
          </cell>
        </row>
        <row r="556">
          <cell r="D556" t="str">
            <v>CundinamarcaTena</v>
          </cell>
          <cell r="E556" t="str">
            <v>Bajo</v>
          </cell>
          <cell r="F556">
            <v>25797</v>
          </cell>
        </row>
        <row r="557">
          <cell r="D557" t="str">
            <v>CundinamarcaTenjo</v>
          </cell>
          <cell r="E557" t="str">
            <v>Moderado</v>
          </cell>
          <cell r="F557">
            <v>25799</v>
          </cell>
        </row>
        <row r="558">
          <cell r="D558" t="str">
            <v>CundinamarcaTibacuy</v>
          </cell>
          <cell r="E558" t="str">
            <v>Bajo</v>
          </cell>
          <cell r="F558">
            <v>25805</v>
          </cell>
        </row>
        <row r="559">
          <cell r="D559" t="str">
            <v>CundinamarcaTibirita</v>
          </cell>
          <cell r="E559" t="str">
            <v>Bajo</v>
          </cell>
          <cell r="F559">
            <v>25807</v>
          </cell>
        </row>
        <row r="560">
          <cell r="D560" t="str">
            <v>CundinamarcaTocaima</v>
          </cell>
          <cell r="E560" t="str">
            <v>Incipiente</v>
          </cell>
          <cell r="F560">
            <v>25815</v>
          </cell>
        </row>
        <row r="561">
          <cell r="D561" t="str">
            <v>CundinamarcaTocancipa</v>
          </cell>
          <cell r="E561" t="str">
            <v>Moderado</v>
          </cell>
          <cell r="F561">
            <v>25817</v>
          </cell>
        </row>
        <row r="562">
          <cell r="D562" t="str">
            <v>CundinamarcaTopaipí</v>
          </cell>
          <cell r="E562" t="str">
            <v>Limitado</v>
          </cell>
          <cell r="F562">
            <v>25823</v>
          </cell>
        </row>
        <row r="563">
          <cell r="D563" t="str">
            <v>CundinamarcaUbalá</v>
          </cell>
          <cell r="E563" t="str">
            <v>Bajo</v>
          </cell>
          <cell r="F563">
            <v>25839</v>
          </cell>
        </row>
        <row r="564">
          <cell r="D564" t="str">
            <v>CundinamarcaUbaque</v>
          </cell>
          <cell r="E564" t="str">
            <v>Bajo</v>
          </cell>
          <cell r="F564">
            <v>25841</v>
          </cell>
        </row>
        <row r="565">
          <cell r="D565" t="str">
            <v>CundinamarcaUbate</v>
          </cell>
          <cell r="E565" t="str">
            <v>Moderado</v>
          </cell>
          <cell r="F565">
            <v>25843</v>
          </cell>
        </row>
        <row r="566">
          <cell r="D566" t="str">
            <v>CundinamarcaUne</v>
          </cell>
          <cell r="E566" t="str">
            <v>Bajo</v>
          </cell>
          <cell r="F566">
            <v>25845</v>
          </cell>
        </row>
        <row r="567">
          <cell r="D567" t="str">
            <v>CundinamarcaÚtica</v>
          </cell>
          <cell r="E567" t="str">
            <v>Bajo</v>
          </cell>
          <cell r="F567">
            <v>25851</v>
          </cell>
        </row>
        <row r="568">
          <cell r="D568" t="str">
            <v>CundinamarcaVergara</v>
          </cell>
          <cell r="E568" t="str">
            <v>Bajo</v>
          </cell>
          <cell r="F568">
            <v>25862</v>
          </cell>
        </row>
        <row r="569">
          <cell r="D569" t="str">
            <v>CundinamarcaVianí</v>
          </cell>
          <cell r="E569" t="str">
            <v>Bajo</v>
          </cell>
          <cell r="F569">
            <v>25867</v>
          </cell>
        </row>
        <row r="570">
          <cell r="D570" t="str">
            <v>CundinamarcaVillagómez</v>
          </cell>
          <cell r="E570" t="str">
            <v>Bajo</v>
          </cell>
          <cell r="F570">
            <v>25871</v>
          </cell>
        </row>
        <row r="571">
          <cell r="D571" t="str">
            <v>CundinamarcaVillapinzón</v>
          </cell>
          <cell r="E571" t="str">
            <v>Incipiente</v>
          </cell>
          <cell r="F571">
            <v>25873</v>
          </cell>
        </row>
        <row r="572">
          <cell r="D572" t="str">
            <v>CundinamarcaVilleta</v>
          </cell>
          <cell r="E572" t="str">
            <v>Incipiente</v>
          </cell>
          <cell r="F572">
            <v>25875</v>
          </cell>
        </row>
        <row r="573">
          <cell r="D573" t="str">
            <v>CundinamarcaViotá</v>
          </cell>
          <cell r="E573" t="str">
            <v>Bajo</v>
          </cell>
          <cell r="F573">
            <v>25878</v>
          </cell>
        </row>
        <row r="574">
          <cell r="D574" t="str">
            <v>CundinamarcaYacopí</v>
          </cell>
          <cell r="E574" t="str">
            <v>Bajo</v>
          </cell>
          <cell r="F574">
            <v>25885</v>
          </cell>
        </row>
        <row r="575">
          <cell r="D575" t="str">
            <v>CundinamarcaZipacón</v>
          </cell>
          <cell r="E575" t="str">
            <v>Bajo</v>
          </cell>
          <cell r="F575">
            <v>25898</v>
          </cell>
        </row>
        <row r="576">
          <cell r="D576" t="str">
            <v>CundinamarcaZipaquira</v>
          </cell>
          <cell r="E576" t="str">
            <v>Moderado</v>
          </cell>
          <cell r="F576">
            <v>25899</v>
          </cell>
        </row>
        <row r="577">
          <cell r="D577" t="str">
            <v>ChocóQuibdó</v>
          </cell>
          <cell r="E577" t="str">
            <v>Incipiente</v>
          </cell>
          <cell r="F577">
            <v>27001</v>
          </cell>
        </row>
        <row r="578">
          <cell r="D578" t="str">
            <v>ChocóAcandí</v>
          </cell>
          <cell r="E578" t="str">
            <v>Limitado</v>
          </cell>
          <cell r="F578">
            <v>27006</v>
          </cell>
        </row>
        <row r="579">
          <cell r="D579" t="str">
            <v>ChocóAlto Baudó</v>
          </cell>
          <cell r="E579" t="str">
            <v>Limitado</v>
          </cell>
          <cell r="F579">
            <v>27025</v>
          </cell>
        </row>
        <row r="580">
          <cell r="D580" t="str">
            <v>ChocóAtrato</v>
          </cell>
          <cell r="E580" t="str">
            <v>Limitado</v>
          </cell>
          <cell r="F580">
            <v>27050</v>
          </cell>
        </row>
        <row r="581">
          <cell r="D581" t="str">
            <v>ChocóBagadó</v>
          </cell>
          <cell r="E581" t="str">
            <v>Limitado</v>
          </cell>
          <cell r="F581">
            <v>27073</v>
          </cell>
        </row>
        <row r="582">
          <cell r="D582" t="str">
            <v>ChocóBahía Solano</v>
          </cell>
          <cell r="E582" t="str">
            <v>Limitado</v>
          </cell>
          <cell r="F582">
            <v>27075</v>
          </cell>
        </row>
        <row r="583">
          <cell r="D583" t="str">
            <v>ChocóBajo Baudó</v>
          </cell>
          <cell r="E583" t="str">
            <v>Limitado</v>
          </cell>
          <cell r="F583">
            <v>27077</v>
          </cell>
        </row>
        <row r="584">
          <cell r="D584" t="str">
            <v>ChocóBojayá</v>
          </cell>
          <cell r="E584" t="str">
            <v>Limitado</v>
          </cell>
          <cell r="F584">
            <v>27099</v>
          </cell>
        </row>
        <row r="585">
          <cell r="D585" t="str">
            <v>ChocóEl Cantón del San Pablo</v>
          </cell>
          <cell r="E585" t="str">
            <v>Limitado</v>
          </cell>
          <cell r="F585">
            <v>27135</v>
          </cell>
        </row>
        <row r="586">
          <cell r="D586" t="str">
            <v>ChocóCarmen del Darién</v>
          </cell>
          <cell r="E586" t="str">
            <v>Limitado</v>
          </cell>
          <cell r="F586">
            <v>27150</v>
          </cell>
        </row>
        <row r="587">
          <cell r="D587" t="str">
            <v>ChocóCértegui</v>
          </cell>
          <cell r="E587" t="str">
            <v>Limitado</v>
          </cell>
          <cell r="F587">
            <v>27160</v>
          </cell>
        </row>
        <row r="588">
          <cell r="D588" t="str">
            <v>ChocóCondoto</v>
          </cell>
          <cell r="E588" t="str">
            <v>Limitado</v>
          </cell>
          <cell r="F588">
            <v>27205</v>
          </cell>
        </row>
        <row r="589">
          <cell r="D589" t="str">
            <v>ChocóEl Carmen de Atrato</v>
          </cell>
          <cell r="E589" t="str">
            <v>Limitado</v>
          </cell>
          <cell r="F589">
            <v>27245</v>
          </cell>
        </row>
        <row r="590">
          <cell r="D590" t="str">
            <v>ChocóEl Litoral del San Juan</v>
          </cell>
          <cell r="E590" t="str">
            <v>Limitado</v>
          </cell>
          <cell r="F590">
            <v>27250</v>
          </cell>
        </row>
        <row r="591">
          <cell r="D591" t="str">
            <v>ChocóIstmina</v>
          </cell>
          <cell r="E591" t="str">
            <v>Incipiente</v>
          </cell>
          <cell r="F591">
            <v>27361</v>
          </cell>
        </row>
        <row r="592">
          <cell r="D592" t="str">
            <v>ChocóJuradó</v>
          </cell>
          <cell r="E592" t="str">
            <v>Limitado</v>
          </cell>
          <cell r="F592">
            <v>27372</v>
          </cell>
        </row>
        <row r="593">
          <cell r="D593" t="str">
            <v>ChocóLloró</v>
          </cell>
          <cell r="E593" t="str">
            <v>Limitado</v>
          </cell>
          <cell r="F593">
            <v>27413</v>
          </cell>
        </row>
        <row r="594">
          <cell r="D594" t="str">
            <v>ChocóMedio Atrato</v>
          </cell>
          <cell r="E594" t="str">
            <v>Limitado</v>
          </cell>
          <cell r="F594">
            <v>27425</v>
          </cell>
        </row>
        <row r="595">
          <cell r="D595" t="str">
            <v>ChocóMedio Baudó</v>
          </cell>
          <cell r="E595" t="str">
            <v>Limitado</v>
          </cell>
          <cell r="F595">
            <v>27430</v>
          </cell>
        </row>
        <row r="596">
          <cell r="D596" t="str">
            <v>ChocóMedio San Juan</v>
          </cell>
          <cell r="E596" t="str">
            <v>Limitado</v>
          </cell>
          <cell r="F596">
            <v>27450</v>
          </cell>
        </row>
        <row r="597">
          <cell r="D597" t="str">
            <v>ChocóNóvita</v>
          </cell>
          <cell r="E597" t="str">
            <v>Limitado</v>
          </cell>
          <cell r="F597">
            <v>27491</v>
          </cell>
        </row>
        <row r="598">
          <cell r="D598" t="str">
            <v>ChocóNuquí</v>
          </cell>
          <cell r="E598" t="str">
            <v>Limitado</v>
          </cell>
          <cell r="F598">
            <v>27495</v>
          </cell>
        </row>
        <row r="599">
          <cell r="D599" t="str">
            <v>ChocóRío Iró</v>
          </cell>
          <cell r="E599" t="str">
            <v>Limitado</v>
          </cell>
          <cell r="F599">
            <v>27580</v>
          </cell>
        </row>
        <row r="600">
          <cell r="D600" t="str">
            <v>ChocóRío Quito</v>
          </cell>
          <cell r="E600" t="str">
            <v>Limitado</v>
          </cell>
          <cell r="F600">
            <v>27600</v>
          </cell>
        </row>
        <row r="601">
          <cell r="D601" t="str">
            <v>ChocóRiosucio</v>
          </cell>
          <cell r="E601" t="str">
            <v>Limitado</v>
          </cell>
          <cell r="F601">
            <v>27615</v>
          </cell>
        </row>
        <row r="602">
          <cell r="D602" t="str">
            <v>ChocóSan José del Palmar</v>
          </cell>
          <cell r="E602" t="str">
            <v>Limitado</v>
          </cell>
          <cell r="F602">
            <v>27660</v>
          </cell>
        </row>
        <row r="603">
          <cell r="D603" t="str">
            <v>ChocóSipí</v>
          </cell>
          <cell r="E603" t="str">
            <v>Limitado</v>
          </cell>
          <cell r="F603">
            <v>27745</v>
          </cell>
        </row>
        <row r="604">
          <cell r="D604" t="str">
            <v>ChocóTadó</v>
          </cell>
          <cell r="E604" t="str">
            <v>Bajo</v>
          </cell>
          <cell r="F604">
            <v>27787</v>
          </cell>
        </row>
        <row r="605">
          <cell r="D605" t="str">
            <v>ChocóUnguía</v>
          </cell>
          <cell r="E605" t="str">
            <v>Limitado</v>
          </cell>
          <cell r="F605">
            <v>27800</v>
          </cell>
        </row>
        <row r="606">
          <cell r="D606" t="str">
            <v>ChocóUnión Panamericana</v>
          </cell>
          <cell r="E606" t="str">
            <v>Limitado</v>
          </cell>
          <cell r="F606">
            <v>27810</v>
          </cell>
        </row>
        <row r="607">
          <cell r="D607" t="str">
            <v>HuilaNeiva</v>
          </cell>
          <cell r="E607" t="str">
            <v>Moderado</v>
          </cell>
          <cell r="F607">
            <v>41001</v>
          </cell>
        </row>
        <row r="608">
          <cell r="D608" t="str">
            <v>HuilaAcevedo</v>
          </cell>
          <cell r="E608" t="str">
            <v>Bajo</v>
          </cell>
          <cell r="F608">
            <v>41006</v>
          </cell>
        </row>
        <row r="609">
          <cell r="D609" t="str">
            <v>HuilaAgrado</v>
          </cell>
          <cell r="E609" t="str">
            <v>Bajo</v>
          </cell>
          <cell r="F609">
            <v>41013</v>
          </cell>
        </row>
        <row r="610">
          <cell r="D610" t="str">
            <v>HuilaAipe</v>
          </cell>
          <cell r="E610" t="str">
            <v>Bajo</v>
          </cell>
          <cell r="F610">
            <v>41016</v>
          </cell>
        </row>
        <row r="611">
          <cell r="D611" t="str">
            <v>HuilaAlgeciras</v>
          </cell>
          <cell r="E611" t="str">
            <v>Bajo</v>
          </cell>
          <cell r="F611">
            <v>41020</v>
          </cell>
        </row>
        <row r="612">
          <cell r="D612" t="str">
            <v>HuilaAltamira</v>
          </cell>
          <cell r="E612" t="str">
            <v>Incipiente</v>
          </cell>
          <cell r="F612">
            <v>41026</v>
          </cell>
        </row>
        <row r="613">
          <cell r="D613" t="str">
            <v>HuilaBaraya</v>
          </cell>
          <cell r="E613" t="str">
            <v>Bajo</v>
          </cell>
          <cell r="F613">
            <v>41078</v>
          </cell>
        </row>
        <row r="614">
          <cell r="D614" t="str">
            <v>HuilaCampoalegre</v>
          </cell>
          <cell r="E614" t="str">
            <v>Incipiente</v>
          </cell>
          <cell r="F614">
            <v>41132</v>
          </cell>
        </row>
        <row r="615">
          <cell r="D615" t="str">
            <v>HuilaColombia</v>
          </cell>
          <cell r="E615" t="str">
            <v>Bajo</v>
          </cell>
          <cell r="F615">
            <v>41206</v>
          </cell>
        </row>
        <row r="616">
          <cell r="D616" t="str">
            <v>HuilaElías</v>
          </cell>
          <cell r="E616" t="str">
            <v>Limitado</v>
          </cell>
          <cell r="F616">
            <v>41244</v>
          </cell>
        </row>
        <row r="617">
          <cell r="D617" t="str">
            <v>HuilaGarzon</v>
          </cell>
          <cell r="E617" t="str">
            <v>Incipiente</v>
          </cell>
          <cell r="F617">
            <v>41298</v>
          </cell>
        </row>
        <row r="618">
          <cell r="D618" t="str">
            <v>HuilaGigante</v>
          </cell>
          <cell r="E618" t="str">
            <v>Incipiente</v>
          </cell>
          <cell r="F618">
            <v>41306</v>
          </cell>
        </row>
        <row r="619">
          <cell r="D619" t="str">
            <v>HuilaGuadalupe</v>
          </cell>
          <cell r="E619" t="str">
            <v>Bajo</v>
          </cell>
          <cell r="F619">
            <v>41319</v>
          </cell>
        </row>
        <row r="620">
          <cell r="D620" t="str">
            <v>HuilaHobo</v>
          </cell>
          <cell r="E620" t="str">
            <v>Bajo</v>
          </cell>
          <cell r="F620">
            <v>41349</v>
          </cell>
        </row>
        <row r="621">
          <cell r="D621" t="str">
            <v>HuilaÍquira</v>
          </cell>
          <cell r="E621" t="str">
            <v>Bajo</v>
          </cell>
          <cell r="F621">
            <v>41357</v>
          </cell>
        </row>
        <row r="622">
          <cell r="D622" t="str">
            <v>HuilaIsnos</v>
          </cell>
          <cell r="E622" t="str">
            <v>Bajo</v>
          </cell>
          <cell r="F622">
            <v>41359</v>
          </cell>
        </row>
        <row r="623">
          <cell r="D623" t="str">
            <v>HuilaLa Argentina</v>
          </cell>
          <cell r="E623" t="str">
            <v>Bajo</v>
          </cell>
          <cell r="F623">
            <v>41378</v>
          </cell>
        </row>
        <row r="624">
          <cell r="D624" t="str">
            <v>HuilaLa Plata</v>
          </cell>
          <cell r="E624" t="str">
            <v>Incipiente</v>
          </cell>
          <cell r="F624">
            <v>41396</v>
          </cell>
        </row>
        <row r="625">
          <cell r="D625" t="str">
            <v>HuilaNátaga</v>
          </cell>
          <cell r="E625" t="str">
            <v>Bajo</v>
          </cell>
          <cell r="F625">
            <v>41483</v>
          </cell>
        </row>
        <row r="626">
          <cell r="D626" t="str">
            <v>HuilaOporapa</v>
          </cell>
          <cell r="E626" t="str">
            <v>Bajo</v>
          </cell>
          <cell r="F626">
            <v>41503</v>
          </cell>
        </row>
        <row r="627">
          <cell r="D627" t="str">
            <v>HuilaPaicol</v>
          </cell>
          <cell r="E627" t="str">
            <v>Bajo</v>
          </cell>
          <cell r="F627">
            <v>41518</v>
          </cell>
        </row>
        <row r="628">
          <cell r="D628" t="str">
            <v>HuilaPalermo</v>
          </cell>
          <cell r="E628" t="str">
            <v>Incipiente</v>
          </cell>
          <cell r="F628">
            <v>41524</v>
          </cell>
        </row>
        <row r="629">
          <cell r="D629" t="str">
            <v>HuilaPalestina</v>
          </cell>
          <cell r="E629" t="str">
            <v>Bajo</v>
          </cell>
          <cell r="F629">
            <v>41530</v>
          </cell>
        </row>
        <row r="630">
          <cell r="D630" t="str">
            <v>HuilaPital</v>
          </cell>
          <cell r="E630" t="str">
            <v>Bajo</v>
          </cell>
          <cell r="F630">
            <v>41548</v>
          </cell>
        </row>
        <row r="631">
          <cell r="D631" t="str">
            <v>HuilaPitalito</v>
          </cell>
          <cell r="E631" t="str">
            <v>Incipiente</v>
          </cell>
          <cell r="F631">
            <v>41551</v>
          </cell>
        </row>
        <row r="632">
          <cell r="D632" t="str">
            <v>HuilaRivera</v>
          </cell>
          <cell r="E632" t="str">
            <v>Incipiente</v>
          </cell>
          <cell r="F632">
            <v>41615</v>
          </cell>
        </row>
        <row r="633">
          <cell r="D633" t="str">
            <v>HuilaSaladoblanco</v>
          </cell>
          <cell r="E633" t="str">
            <v>Limitado</v>
          </cell>
          <cell r="F633">
            <v>41660</v>
          </cell>
        </row>
        <row r="634">
          <cell r="D634" t="str">
            <v>HuilaSan Agustín</v>
          </cell>
          <cell r="E634" t="str">
            <v>Bajo</v>
          </cell>
          <cell r="F634">
            <v>41668</v>
          </cell>
        </row>
        <row r="635">
          <cell r="D635" t="str">
            <v>HuilaSanta María</v>
          </cell>
          <cell r="E635" t="str">
            <v>Bajo</v>
          </cell>
          <cell r="F635">
            <v>41676</v>
          </cell>
        </row>
        <row r="636">
          <cell r="D636" t="str">
            <v>HuilaSuaza</v>
          </cell>
          <cell r="E636" t="str">
            <v>Bajo</v>
          </cell>
          <cell r="F636">
            <v>41770</v>
          </cell>
        </row>
        <row r="637">
          <cell r="D637" t="str">
            <v>HuilaTarqui</v>
          </cell>
          <cell r="E637" t="str">
            <v>Bajo</v>
          </cell>
          <cell r="F637">
            <v>41791</v>
          </cell>
        </row>
        <row r="638">
          <cell r="D638" t="str">
            <v>HuilaTesalia</v>
          </cell>
          <cell r="E638" t="str">
            <v>Incipiente</v>
          </cell>
          <cell r="F638">
            <v>41797</v>
          </cell>
        </row>
        <row r="639">
          <cell r="D639" t="str">
            <v>HuilaTello</v>
          </cell>
          <cell r="E639" t="str">
            <v>Bajo</v>
          </cell>
          <cell r="F639">
            <v>41799</v>
          </cell>
        </row>
        <row r="640">
          <cell r="D640" t="str">
            <v>HuilaTeruel</v>
          </cell>
          <cell r="E640" t="str">
            <v>Bajo</v>
          </cell>
          <cell r="F640">
            <v>41801</v>
          </cell>
        </row>
        <row r="641">
          <cell r="D641" t="str">
            <v>HuilaTimaná</v>
          </cell>
          <cell r="E641" t="str">
            <v>Bajo</v>
          </cell>
          <cell r="F641">
            <v>41807</v>
          </cell>
        </row>
        <row r="642">
          <cell r="D642" t="str">
            <v>HuilaVillavieja</v>
          </cell>
          <cell r="E642" t="str">
            <v>Bajo</v>
          </cell>
          <cell r="F642">
            <v>41872</v>
          </cell>
        </row>
        <row r="643">
          <cell r="D643" t="str">
            <v>HuilaYaguará</v>
          </cell>
          <cell r="E643" t="str">
            <v>Incipiente</v>
          </cell>
          <cell r="F643">
            <v>41885</v>
          </cell>
        </row>
        <row r="644">
          <cell r="D644" t="str">
            <v>La GuajiraRiohacha</v>
          </cell>
          <cell r="E644" t="str">
            <v>Moderado</v>
          </cell>
          <cell r="F644">
            <v>44001</v>
          </cell>
        </row>
        <row r="645">
          <cell r="D645" t="str">
            <v>La GuajiraAlbania</v>
          </cell>
          <cell r="E645" t="str">
            <v>Incipiente</v>
          </cell>
          <cell r="F645">
            <v>44035</v>
          </cell>
        </row>
        <row r="646">
          <cell r="D646" t="str">
            <v>La GuajiraBarrancas</v>
          </cell>
          <cell r="E646" t="str">
            <v>Bajo</v>
          </cell>
          <cell r="F646">
            <v>44078</v>
          </cell>
        </row>
        <row r="647">
          <cell r="D647" t="str">
            <v>La GuajiraDibulla</v>
          </cell>
          <cell r="E647" t="str">
            <v>Limitado</v>
          </cell>
          <cell r="F647">
            <v>44090</v>
          </cell>
        </row>
        <row r="648">
          <cell r="D648" t="str">
            <v>La GuajiraDistracción</v>
          </cell>
          <cell r="E648" t="str">
            <v>Limitado</v>
          </cell>
          <cell r="F648">
            <v>44098</v>
          </cell>
        </row>
        <row r="649">
          <cell r="D649" t="str">
            <v>La GuajiraEl Molino</v>
          </cell>
          <cell r="E649" t="str">
            <v>Bajo</v>
          </cell>
          <cell r="F649">
            <v>44110</v>
          </cell>
        </row>
        <row r="650">
          <cell r="D650" t="str">
            <v>La GuajiraFonseca</v>
          </cell>
          <cell r="E650" t="str">
            <v>Incipiente</v>
          </cell>
          <cell r="F650">
            <v>44279</v>
          </cell>
        </row>
        <row r="651">
          <cell r="D651" t="str">
            <v>La GuajiraHatonuevo</v>
          </cell>
          <cell r="E651" t="str">
            <v>Bajo</v>
          </cell>
          <cell r="F651">
            <v>44378</v>
          </cell>
        </row>
        <row r="652">
          <cell r="D652" t="str">
            <v>La GuajiraLa Jagua del Pilar</v>
          </cell>
          <cell r="E652" t="str">
            <v>Limitado</v>
          </cell>
          <cell r="F652">
            <v>44420</v>
          </cell>
        </row>
        <row r="653">
          <cell r="D653" t="str">
            <v>La GuajiraMaicao</v>
          </cell>
          <cell r="E653" t="str">
            <v>Incipiente</v>
          </cell>
          <cell r="F653">
            <v>44430</v>
          </cell>
        </row>
        <row r="654">
          <cell r="D654" t="str">
            <v>La GuajiraManaure</v>
          </cell>
          <cell r="E654" t="str">
            <v>Limitado</v>
          </cell>
          <cell r="F654">
            <v>44560</v>
          </cell>
        </row>
        <row r="655">
          <cell r="D655" t="str">
            <v>La GuajiraSan Juan del Cesar</v>
          </cell>
          <cell r="E655" t="str">
            <v>Incipiente</v>
          </cell>
          <cell r="F655">
            <v>44650</v>
          </cell>
        </row>
        <row r="656">
          <cell r="D656" t="str">
            <v>La GuajiraUribia</v>
          </cell>
          <cell r="E656" t="str">
            <v>Limitado</v>
          </cell>
          <cell r="F656">
            <v>44847</v>
          </cell>
        </row>
        <row r="657">
          <cell r="D657" t="str">
            <v>La GuajiraUrumita</v>
          </cell>
          <cell r="E657" t="str">
            <v>Bajo</v>
          </cell>
          <cell r="F657">
            <v>44855</v>
          </cell>
        </row>
        <row r="658">
          <cell r="D658" t="str">
            <v>La GuajiraVillanueva</v>
          </cell>
          <cell r="E658" t="str">
            <v>Incipiente</v>
          </cell>
          <cell r="F658">
            <v>44874</v>
          </cell>
        </row>
        <row r="659">
          <cell r="D659" t="str">
            <v>MagdalenaSanta Marta</v>
          </cell>
          <cell r="E659" t="str">
            <v>Moderado</v>
          </cell>
          <cell r="F659">
            <v>47001</v>
          </cell>
        </row>
        <row r="660">
          <cell r="D660" t="str">
            <v>MagdalenaAlgarrobo</v>
          </cell>
          <cell r="E660" t="str">
            <v>Bajo</v>
          </cell>
          <cell r="F660">
            <v>47030</v>
          </cell>
        </row>
        <row r="661">
          <cell r="D661" t="str">
            <v>MagdalenaAracataca</v>
          </cell>
          <cell r="E661" t="str">
            <v>Bajo</v>
          </cell>
          <cell r="F661">
            <v>47053</v>
          </cell>
        </row>
        <row r="662">
          <cell r="D662" t="str">
            <v>MagdalenaAriguaní</v>
          </cell>
          <cell r="E662" t="str">
            <v>Limitado</v>
          </cell>
          <cell r="F662">
            <v>47058</v>
          </cell>
        </row>
        <row r="663">
          <cell r="D663" t="str">
            <v>MagdalenaCerro de San Antonio</v>
          </cell>
          <cell r="E663" t="str">
            <v>Limitado</v>
          </cell>
          <cell r="F663">
            <v>47161</v>
          </cell>
        </row>
        <row r="664">
          <cell r="D664" t="str">
            <v>MagdalenaChibolo</v>
          </cell>
          <cell r="E664" t="str">
            <v>Bajo</v>
          </cell>
          <cell r="F664">
            <v>47170</v>
          </cell>
        </row>
        <row r="665">
          <cell r="D665" t="str">
            <v>MagdalenaCienaga</v>
          </cell>
          <cell r="E665" t="str">
            <v>Incipiente</v>
          </cell>
          <cell r="F665">
            <v>47189</v>
          </cell>
        </row>
        <row r="666">
          <cell r="D666" t="str">
            <v>MagdalenaConcordia</v>
          </cell>
          <cell r="E666" t="str">
            <v>Limitado</v>
          </cell>
          <cell r="F666">
            <v>47205</v>
          </cell>
        </row>
        <row r="667">
          <cell r="D667" t="str">
            <v>MagdalenaEl Banco</v>
          </cell>
          <cell r="E667" t="str">
            <v>Bajo</v>
          </cell>
          <cell r="F667">
            <v>47245</v>
          </cell>
        </row>
        <row r="668">
          <cell r="D668" t="str">
            <v>MagdalenaEl Piñón</v>
          </cell>
          <cell r="E668" t="str">
            <v>Bajo</v>
          </cell>
          <cell r="F668">
            <v>47258</v>
          </cell>
        </row>
        <row r="669">
          <cell r="D669" t="str">
            <v>MagdalenaEl Retén</v>
          </cell>
          <cell r="E669" t="str">
            <v>Bajo</v>
          </cell>
          <cell r="F669">
            <v>47268</v>
          </cell>
        </row>
        <row r="670">
          <cell r="D670" t="str">
            <v>MagdalenaFundación</v>
          </cell>
          <cell r="E670" t="str">
            <v>Incipiente</v>
          </cell>
          <cell r="F670">
            <v>47288</v>
          </cell>
        </row>
        <row r="671">
          <cell r="D671" t="str">
            <v>MagdalenaGuamal</v>
          </cell>
          <cell r="E671" t="str">
            <v>Bajo</v>
          </cell>
          <cell r="F671">
            <v>47318</v>
          </cell>
        </row>
        <row r="672">
          <cell r="D672" t="str">
            <v>MagdalenaNueva Granada</v>
          </cell>
          <cell r="E672" t="str">
            <v>Limitado</v>
          </cell>
          <cell r="F672">
            <v>47460</v>
          </cell>
        </row>
        <row r="673">
          <cell r="D673" t="str">
            <v>MagdalenaPedraza</v>
          </cell>
          <cell r="E673" t="str">
            <v>Limitado</v>
          </cell>
          <cell r="F673">
            <v>47541</v>
          </cell>
        </row>
        <row r="674">
          <cell r="D674" t="str">
            <v>MagdalenaPijiño del Carmen</v>
          </cell>
          <cell r="E674" t="str">
            <v>Limitado</v>
          </cell>
          <cell r="F674">
            <v>47545</v>
          </cell>
        </row>
        <row r="675">
          <cell r="D675" t="str">
            <v>MagdalenaPivijay</v>
          </cell>
          <cell r="E675" t="str">
            <v>Bajo</v>
          </cell>
          <cell r="F675">
            <v>47551</v>
          </cell>
        </row>
        <row r="676">
          <cell r="D676" t="str">
            <v>MagdalenaPlato</v>
          </cell>
          <cell r="E676" t="str">
            <v>Incipiente</v>
          </cell>
          <cell r="F676">
            <v>47555</v>
          </cell>
        </row>
        <row r="677">
          <cell r="D677" t="str">
            <v>MagdalenaPuebloviejo</v>
          </cell>
          <cell r="E677" t="str">
            <v>Bajo</v>
          </cell>
          <cell r="F677">
            <v>47570</v>
          </cell>
        </row>
        <row r="678">
          <cell r="D678" t="str">
            <v>MagdalenaRemolino</v>
          </cell>
          <cell r="E678" t="str">
            <v>Limitado</v>
          </cell>
          <cell r="F678">
            <v>47605</v>
          </cell>
        </row>
        <row r="679">
          <cell r="D679" t="str">
            <v>MagdalenaSabanas de San Ángel</v>
          </cell>
          <cell r="E679" t="str">
            <v>Limitado</v>
          </cell>
          <cell r="F679">
            <v>47660</v>
          </cell>
        </row>
        <row r="680">
          <cell r="D680" t="str">
            <v>MagdalenaSalamina</v>
          </cell>
          <cell r="E680" t="str">
            <v>Bajo</v>
          </cell>
          <cell r="F680">
            <v>47675</v>
          </cell>
        </row>
        <row r="681">
          <cell r="D681" t="str">
            <v>MagdalenaSan Sebastián de Buenavista</v>
          </cell>
          <cell r="E681" t="str">
            <v>Limitado</v>
          </cell>
          <cell r="F681">
            <v>47692</v>
          </cell>
        </row>
        <row r="682">
          <cell r="D682" t="str">
            <v>MagdalenaSan Zenón</v>
          </cell>
          <cell r="E682" t="str">
            <v>Limitado</v>
          </cell>
          <cell r="F682">
            <v>47703</v>
          </cell>
        </row>
        <row r="683">
          <cell r="D683" t="str">
            <v>MagdalenaSanta Ana</v>
          </cell>
          <cell r="E683" t="str">
            <v>Bajo</v>
          </cell>
          <cell r="F683">
            <v>47707</v>
          </cell>
        </row>
        <row r="684">
          <cell r="D684" t="str">
            <v>MagdalenaSanta Bárbara de Pinto</v>
          </cell>
          <cell r="E684" t="str">
            <v>Limitado</v>
          </cell>
          <cell r="F684">
            <v>47720</v>
          </cell>
        </row>
        <row r="685">
          <cell r="D685" t="str">
            <v>MagdalenaSitionuevo</v>
          </cell>
          <cell r="E685" t="str">
            <v>Limitado</v>
          </cell>
          <cell r="F685">
            <v>47745</v>
          </cell>
        </row>
        <row r="686">
          <cell r="D686" t="str">
            <v>MagdalenaTenerife</v>
          </cell>
          <cell r="E686" t="str">
            <v>Bajo</v>
          </cell>
          <cell r="F686">
            <v>47798</v>
          </cell>
        </row>
        <row r="687">
          <cell r="D687" t="str">
            <v>MagdalenaZapayán</v>
          </cell>
          <cell r="E687" t="str">
            <v>Limitado</v>
          </cell>
          <cell r="F687">
            <v>47960</v>
          </cell>
        </row>
        <row r="688">
          <cell r="D688" t="str">
            <v>MagdalenaZona Bananera</v>
          </cell>
          <cell r="E688" t="str">
            <v>Bajo</v>
          </cell>
          <cell r="F688">
            <v>47980</v>
          </cell>
        </row>
        <row r="689">
          <cell r="D689" t="str">
            <v>MetaVillavicencio</v>
          </cell>
          <cell r="E689" t="str">
            <v>Moderado</v>
          </cell>
          <cell r="F689">
            <v>50001</v>
          </cell>
        </row>
        <row r="690">
          <cell r="D690" t="str">
            <v>MetaAcacias</v>
          </cell>
          <cell r="E690" t="str">
            <v>Moderado</v>
          </cell>
          <cell r="F690">
            <v>50006</v>
          </cell>
        </row>
        <row r="691">
          <cell r="D691" t="str">
            <v>MetaBarranca de Upía</v>
          </cell>
          <cell r="E691" t="str">
            <v>Bajo</v>
          </cell>
          <cell r="F691">
            <v>50110</v>
          </cell>
        </row>
        <row r="692">
          <cell r="D692" t="str">
            <v>MetaCabuyaro</v>
          </cell>
          <cell r="E692" t="str">
            <v>Bajo</v>
          </cell>
          <cell r="F692">
            <v>50124</v>
          </cell>
        </row>
        <row r="693">
          <cell r="D693" t="str">
            <v>MetaCastilla la Nueva</v>
          </cell>
          <cell r="E693" t="str">
            <v>Incipiente</v>
          </cell>
          <cell r="F693">
            <v>50150</v>
          </cell>
        </row>
        <row r="694">
          <cell r="D694" t="str">
            <v>MetaCubarral</v>
          </cell>
          <cell r="E694" t="str">
            <v>Incipiente</v>
          </cell>
          <cell r="F694">
            <v>50223</v>
          </cell>
        </row>
        <row r="695">
          <cell r="D695" t="str">
            <v>MetaCumaral</v>
          </cell>
          <cell r="E695" t="str">
            <v>Incipiente</v>
          </cell>
          <cell r="F695">
            <v>50226</v>
          </cell>
        </row>
        <row r="696">
          <cell r="D696" t="str">
            <v>MetaEl Calvario</v>
          </cell>
          <cell r="E696" t="str">
            <v>Limitado</v>
          </cell>
          <cell r="F696">
            <v>50245</v>
          </cell>
        </row>
        <row r="697">
          <cell r="D697" t="str">
            <v>MetaEl Castillo</v>
          </cell>
          <cell r="E697" t="str">
            <v>Bajo</v>
          </cell>
          <cell r="F697">
            <v>50251</v>
          </cell>
        </row>
        <row r="698">
          <cell r="D698" t="str">
            <v>MetaEl Dorado</v>
          </cell>
          <cell r="E698" t="str">
            <v>Bajo</v>
          </cell>
          <cell r="F698">
            <v>50270</v>
          </cell>
        </row>
        <row r="699">
          <cell r="D699" t="str">
            <v>MetaFuente de Oro</v>
          </cell>
          <cell r="E699" t="str">
            <v>Bajo</v>
          </cell>
          <cell r="F699">
            <v>50287</v>
          </cell>
        </row>
        <row r="700">
          <cell r="D700" t="str">
            <v>MetaGranada</v>
          </cell>
          <cell r="E700" t="str">
            <v>Incipiente</v>
          </cell>
          <cell r="F700">
            <v>50313</v>
          </cell>
        </row>
        <row r="701">
          <cell r="D701" t="str">
            <v>MetaGuamal</v>
          </cell>
          <cell r="E701" t="str">
            <v>Incipiente</v>
          </cell>
          <cell r="F701">
            <v>50318</v>
          </cell>
        </row>
        <row r="702">
          <cell r="D702" t="str">
            <v>MetaMapiripán</v>
          </cell>
          <cell r="E702" t="str">
            <v>Limitado</v>
          </cell>
          <cell r="F702">
            <v>50325</v>
          </cell>
        </row>
        <row r="703">
          <cell r="D703" t="str">
            <v>MetaMesetas</v>
          </cell>
          <cell r="E703" t="str">
            <v>Bajo</v>
          </cell>
          <cell r="F703">
            <v>50330</v>
          </cell>
        </row>
        <row r="704">
          <cell r="D704" t="str">
            <v>MetaLa Macarena</v>
          </cell>
          <cell r="E704" t="str">
            <v>Limitado</v>
          </cell>
          <cell r="F704">
            <v>50350</v>
          </cell>
        </row>
        <row r="705">
          <cell r="D705" t="str">
            <v>MetaUribe</v>
          </cell>
          <cell r="E705" t="str">
            <v>Limitado</v>
          </cell>
          <cell r="F705">
            <v>50370</v>
          </cell>
        </row>
        <row r="706">
          <cell r="D706" t="str">
            <v>MetaLejanías</v>
          </cell>
          <cell r="E706" t="str">
            <v>Bajo</v>
          </cell>
          <cell r="F706">
            <v>50400</v>
          </cell>
        </row>
        <row r="707">
          <cell r="D707" t="str">
            <v>MetaPuerto Concordia</v>
          </cell>
          <cell r="E707" t="str">
            <v>Bajo</v>
          </cell>
          <cell r="F707">
            <v>50450</v>
          </cell>
        </row>
        <row r="708">
          <cell r="D708" t="str">
            <v>MetaPuerto Gaitán</v>
          </cell>
          <cell r="E708" t="str">
            <v>Incipiente</v>
          </cell>
          <cell r="F708">
            <v>50568</v>
          </cell>
        </row>
        <row r="709">
          <cell r="D709" t="str">
            <v>MetaPuerto López</v>
          </cell>
          <cell r="E709" t="str">
            <v>Incipiente</v>
          </cell>
          <cell r="F709">
            <v>50573</v>
          </cell>
        </row>
        <row r="710">
          <cell r="D710" t="str">
            <v>MetaPuerto Lleras</v>
          </cell>
          <cell r="E710" t="str">
            <v>Bajo</v>
          </cell>
          <cell r="F710">
            <v>50577</v>
          </cell>
        </row>
        <row r="711">
          <cell r="D711" t="str">
            <v>MetaPuerto Rico</v>
          </cell>
          <cell r="E711" t="str">
            <v>Bajo</v>
          </cell>
          <cell r="F711">
            <v>50590</v>
          </cell>
        </row>
        <row r="712">
          <cell r="D712" t="str">
            <v>MetaRestrepo</v>
          </cell>
          <cell r="E712" t="str">
            <v>Moderado</v>
          </cell>
          <cell r="F712">
            <v>50606</v>
          </cell>
        </row>
        <row r="713">
          <cell r="D713" t="str">
            <v>MetaSan Carlos de Guaroa</v>
          </cell>
          <cell r="E713" t="str">
            <v>Bajo</v>
          </cell>
          <cell r="F713">
            <v>50680</v>
          </cell>
        </row>
        <row r="714">
          <cell r="D714" t="str">
            <v>MetaSan Juan de Arama</v>
          </cell>
          <cell r="E714" t="str">
            <v>Bajo</v>
          </cell>
          <cell r="F714">
            <v>50683</v>
          </cell>
        </row>
        <row r="715">
          <cell r="D715" t="str">
            <v>MetaSan Juanito</v>
          </cell>
          <cell r="E715" t="str">
            <v>Limitado</v>
          </cell>
          <cell r="F715">
            <v>50686</v>
          </cell>
        </row>
        <row r="716">
          <cell r="D716" t="str">
            <v>MetaSan Martín</v>
          </cell>
          <cell r="E716" t="str">
            <v>Moderado</v>
          </cell>
          <cell r="F716">
            <v>50689</v>
          </cell>
        </row>
        <row r="717">
          <cell r="D717" t="str">
            <v>MetaVistahermosa</v>
          </cell>
          <cell r="E717" t="str">
            <v>Bajo</v>
          </cell>
          <cell r="F717">
            <v>50711</v>
          </cell>
        </row>
        <row r="718">
          <cell r="D718" t="str">
            <v>NariñoPasto</v>
          </cell>
          <cell r="E718" t="str">
            <v>Moderado</v>
          </cell>
          <cell r="F718">
            <v>52001</v>
          </cell>
        </row>
        <row r="719">
          <cell r="D719" t="str">
            <v>NariñoAlbán</v>
          </cell>
          <cell r="E719" t="str">
            <v>Bajo</v>
          </cell>
          <cell r="F719">
            <v>52019</v>
          </cell>
        </row>
        <row r="720">
          <cell r="D720" t="str">
            <v>NariñoAldana</v>
          </cell>
          <cell r="E720" t="str">
            <v>Bajo</v>
          </cell>
          <cell r="F720">
            <v>52022</v>
          </cell>
        </row>
        <row r="721">
          <cell r="D721" t="str">
            <v>NariñoAncuya</v>
          </cell>
          <cell r="E721" t="str">
            <v>Bajo</v>
          </cell>
          <cell r="F721">
            <v>52036</v>
          </cell>
        </row>
        <row r="722">
          <cell r="D722" t="str">
            <v>NariñoArboleda</v>
          </cell>
          <cell r="E722" t="str">
            <v>Bajo</v>
          </cell>
          <cell r="F722">
            <v>52051</v>
          </cell>
        </row>
        <row r="723">
          <cell r="D723" t="str">
            <v>NariñoBarbacoas</v>
          </cell>
          <cell r="E723" t="str">
            <v>Limitado</v>
          </cell>
          <cell r="F723">
            <v>52079</v>
          </cell>
        </row>
        <row r="724">
          <cell r="D724" t="str">
            <v>NariñoBelén</v>
          </cell>
          <cell r="E724" t="str">
            <v>Bajo</v>
          </cell>
          <cell r="F724">
            <v>52083</v>
          </cell>
        </row>
        <row r="725">
          <cell r="D725" t="str">
            <v>NariñoBuesaco</v>
          </cell>
          <cell r="E725" t="str">
            <v>Bajo</v>
          </cell>
          <cell r="F725">
            <v>52110</v>
          </cell>
        </row>
        <row r="726">
          <cell r="D726" t="str">
            <v>NariñoColón</v>
          </cell>
          <cell r="E726" t="str">
            <v>Limitado</v>
          </cell>
          <cell r="F726">
            <v>52203</v>
          </cell>
        </row>
        <row r="727">
          <cell r="D727" t="str">
            <v>NariñoConsacá</v>
          </cell>
          <cell r="E727" t="str">
            <v>Bajo</v>
          </cell>
          <cell r="F727">
            <v>52207</v>
          </cell>
        </row>
        <row r="728">
          <cell r="D728" t="str">
            <v>NariñoContadero</v>
          </cell>
          <cell r="E728" t="str">
            <v>Bajo</v>
          </cell>
          <cell r="F728">
            <v>52210</v>
          </cell>
        </row>
        <row r="729">
          <cell r="D729" t="str">
            <v>NariñoCórdoba</v>
          </cell>
          <cell r="E729" t="str">
            <v>Bajo</v>
          </cell>
          <cell r="F729">
            <v>52215</v>
          </cell>
        </row>
        <row r="730">
          <cell r="D730" t="str">
            <v>NariñoCuaspud Carlosama</v>
          </cell>
          <cell r="E730" t="str">
            <v>Bajo</v>
          </cell>
          <cell r="F730">
            <v>52224</v>
          </cell>
        </row>
        <row r="731">
          <cell r="D731" t="str">
            <v>NariñoCumbal</v>
          </cell>
          <cell r="E731" t="str">
            <v>Bajo</v>
          </cell>
          <cell r="F731">
            <v>52227</v>
          </cell>
        </row>
        <row r="732">
          <cell r="D732" t="str">
            <v>NariñoCumbitara</v>
          </cell>
          <cell r="E732" t="str">
            <v>Limitado</v>
          </cell>
          <cell r="F732">
            <v>52233</v>
          </cell>
        </row>
        <row r="733">
          <cell r="D733" t="str">
            <v>NariñoChachagüí</v>
          </cell>
          <cell r="E733" t="str">
            <v>Bajo</v>
          </cell>
          <cell r="F733">
            <v>52240</v>
          </cell>
        </row>
        <row r="734">
          <cell r="D734" t="str">
            <v>NariñoEl Charco</v>
          </cell>
          <cell r="E734" t="str">
            <v>Limitado</v>
          </cell>
          <cell r="F734">
            <v>52250</v>
          </cell>
        </row>
        <row r="735">
          <cell r="D735" t="str">
            <v>NariñoEl Peñol</v>
          </cell>
          <cell r="E735" t="str">
            <v>Limitado</v>
          </cell>
          <cell r="F735">
            <v>52254</v>
          </cell>
        </row>
        <row r="736">
          <cell r="D736" t="str">
            <v>NariñoEl Rosario</v>
          </cell>
          <cell r="E736" t="str">
            <v>Limitado</v>
          </cell>
          <cell r="F736">
            <v>52256</v>
          </cell>
        </row>
        <row r="737">
          <cell r="D737" t="str">
            <v>NariñoEl Tablón de Gómez</v>
          </cell>
          <cell r="E737" t="str">
            <v>Bajo</v>
          </cell>
          <cell r="F737">
            <v>52258</v>
          </cell>
        </row>
        <row r="738">
          <cell r="D738" t="str">
            <v>NariñoEl Tambo</v>
          </cell>
          <cell r="E738" t="str">
            <v>Bajo</v>
          </cell>
          <cell r="F738">
            <v>52260</v>
          </cell>
        </row>
        <row r="739">
          <cell r="D739" t="str">
            <v>NariñoFunes</v>
          </cell>
          <cell r="E739" t="str">
            <v>Bajo</v>
          </cell>
          <cell r="F739">
            <v>52287</v>
          </cell>
        </row>
        <row r="740">
          <cell r="D740" t="str">
            <v>NariñoGuachucal</v>
          </cell>
          <cell r="E740" t="str">
            <v>Bajo</v>
          </cell>
          <cell r="F740">
            <v>52317</v>
          </cell>
        </row>
        <row r="741">
          <cell r="D741" t="str">
            <v>NariñoGuaitarilla</v>
          </cell>
          <cell r="E741" t="str">
            <v>Bajo</v>
          </cell>
          <cell r="F741">
            <v>52320</v>
          </cell>
        </row>
        <row r="742">
          <cell r="D742" t="str">
            <v>NariñoGualmatán</v>
          </cell>
          <cell r="E742" t="str">
            <v>Bajo</v>
          </cell>
          <cell r="F742">
            <v>52323</v>
          </cell>
        </row>
        <row r="743">
          <cell r="D743" t="str">
            <v>NariñoIles</v>
          </cell>
          <cell r="E743" t="str">
            <v>Bajo</v>
          </cell>
          <cell r="F743">
            <v>52352</v>
          </cell>
        </row>
        <row r="744">
          <cell r="D744" t="str">
            <v>NariñoImués</v>
          </cell>
          <cell r="E744" t="str">
            <v>Bajo</v>
          </cell>
          <cell r="F744">
            <v>52354</v>
          </cell>
        </row>
        <row r="745">
          <cell r="D745" t="str">
            <v>NariñoIpiales</v>
          </cell>
          <cell r="E745" t="str">
            <v>Incipiente</v>
          </cell>
          <cell r="F745">
            <v>52356</v>
          </cell>
        </row>
        <row r="746">
          <cell r="D746" t="str">
            <v>NariñoLa Cruz</v>
          </cell>
          <cell r="E746" t="str">
            <v>Bajo</v>
          </cell>
          <cell r="F746">
            <v>52378</v>
          </cell>
        </row>
        <row r="747">
          <cell r="D747" t="str">
            <v>NariñoLa Florida</v>
          </cell>
          <cell r="E747" t="str">
            <v>Bajo</v>
          </cell>
          <cell r="F747">
            <v>52381</v>
          </cell>
        </row>
        <row r="748">
          <cell r="D748" t="str">
            <v>NariñoLa Llanada</v>
          </cell>
          <cell r="E748" t="str">
            <v>Bajo</v>
          </cell>
          <cell r="F748">
            <v>52385</v>
          </cell>
        </row>
        <row r="749">
          <cell r="D749" t="str">
            <v>NariñoLa Tola</v>
          </cell>
          <cell r="E749" t="str">
            <v>Limitado</v>
          </cell>
          <cell r="F749">
            <v>52390</v>
          </cell>
        </row>
        <row r="750">
          <cell r="D750" t="str">
            <v>NariñoLa Unión</v>
          </cell>
          <cell r="E750" t="str">
            <v>Incipiente</v>
          </cell>
          <cell r="F750">
            <v>52399</v>
          </cell>
        </row>
        <row r="751">
          <cell r="D751" t="str">
            <v>NariñoLeiva</v>
          </cell>
          <cell r="E751" t="str">
            <v>Limitado</v>
          </cell>
          <cell r="F751">
            <v>52405</v>
          </cell>
        </row>
        <row r="752">
          <cell r="D752" t="str">
            <v>NariñoLinares</v>
          </cell>
          <cell r="E752" t="str">
            <v>Bajo</v>
          </cell>
          <cell r="F752">
            <v>52411</v>
          </cell>
        </row>
        <row r="753">
          <cell r="D753" t="str">
            <v>NariñoLos Andes</v>
          </cell>
          <cell r="E753" t="str">
            <v>Limitado</v>
          </cell>
          <cell r="F753">
            <v>52418</v>
          </cell>
        </row>
        <row r="754">
          <cell r="D754" t="str">
            <v>NariñoMagüí</v>
          </cell>
          <cell r="E754" t="str">
            <v>Limitado</v>
          </cell>
          <cell r="F754">
            <v>52427</v>
          </cell>
        </row>
        <row r="755">
          <cell r="D755" t="str">
            <v>NariñoMallama</v>
          </cell>
          <cell r="E755" t="str">
            <v>Limitado</v>
          </cell>
          <cell r="F755">
            <v>52435</v>
          </cell>
        </row>
        <row r="756">
          <cell r="D756" t="str">
            <v>NariñoMosquera</v>
          </cell>
          <cell r="E756" t="str">
            <v>Limitado</v>
          </cell>
          <cell r="F756">
            <v>52473</v>
          </cell>
        </row>
        <row r="757">
          <cell r="D757" t="str">
            <v>NariñoNariño</v>
          </cell>
          <cell r="E757" t="str">
            <v>Incipiente</v>
          </cell>
          <cell r="F757">
            <v>52480</v>
          </cell>
        </row>
        <row r="758">
          <cell r="D758" t="str">
            <v>NariñoOlaya Herrera</v>
          </cell>
          <cell r="E758" t="str">
            <v>Limitado</v>
          </cell>
          <cell r="F758">
            <v>52490</v>
          </cell>
        </row>
        <row r="759">
          <cell r="D759" t="str">
            <v>NariñoOspina</v>
          </cell>
          <cell r="E759" t="str">
            <v>Bajo</v>
          </cell>
          <cell r="F759">
            <v>52506</v>
          </cell>
        </row>
        <row r="760">
          <cell r="D760" t="str">
            <v>NariñoFrancisco Pizarro</v>
          </cell>
          <cell r="E760" t="str">
            <v>Limitado</v>
          </cell>
          <cell r="F760">
            <v>52520</v>
          </cell>
        </row>
        <row r="761">
          <cell r="D761" t="str">
            <v>NariñoPolicarpa</v>
          </cell>
          <cell r="E761" t="str">
            <v>Limitado</v>
          </cell>
          <cell r="F761">
            <v>52540</v>
          </cell>
        </row>
        <row r="762">
          <cell r="D762" t="str">
            <v>NariñoPotosí</v>
          </cell>
          <cell r="E762" t="str">
            <v>Bajo</v>
          </cell>
          <cell r="F762">
            <v>52560</v>
          </cell>
        </row>
        <row r="763">
          <cell r="D763" t="str">
            <v>NariñoProvidencia</v>
          </cell>
          <cell r="E763" t="str">
            <v>Limitado</v>
          </cell>
          <cell r="F763">
            <v>52565</v>
          </cell>
        </row>
        <row r="764">
          <cell r="D764" t="str">
            <v>NariñoPuerres</v>
          </cell>
          <cell r="E764" t="str">
            <v>Bajo</v>
          </cell>
          <cell r="F764">
            <v>52573</v>
          </cell>
        </row>
        <row r="765">
          <cell r="D765" t="str">
            <v>NariñoPupiales</v>
          </cell>
          <cell r="E765" t="str">
            <v>Bajo</v>
          </cell>
          <cell r="F765">
            <v>52585</v>
          </cell>
        </row>
        <row r="766">
          <cell r="D766" t="str">
            <v>NariñoRicaurte</v>
          </cell>
          <cell r="E766" t="str">
            <v>Bajo</v>
          </cell>
          <cell r="F766">
            <v>52612</v>
          </cell>
        </row>
        <row r="767">
          <cell r="D767" t="str">
            <v>NariñoRoberto Payán</v>
          </cell>
          <cell r="E767" t="str">
            <v>Limitado</v>
          </cell>
          <cell r="F767">
            <v>52621</v>
          </cell>
        </row>
        <row r="768">
          <cell r="D768" t="str">
            <v>NariñoSamaniego</v>
          </cell>
          <cell r="E768" t="str">
            <v>Bajo</v>
          </cell>
          <cell r="F768">
            <v>52678</v>
          </cell>
        </row>
        <row r="769">
          <cell r="D769" t="str">
            <v>NariñoSandoná</v>
          </cell>
          <cell r="E769" t="str">
            <v>Incipiente</v>
          </cell>
          <cell r="F769">
            <v>52683</v>
          </cell>
        </row>
        <row r="770">
          <cell r="D770" t="str">
            <v>NariñoSan Bernardo</v>
          </cell>
          <cell r="E770" t="str">
            <v>Bajo</v>
          </cell>
          <cell r="F770">
            <v>52685</v>
          </cell>
        </row>
        <row r="771">
          <cell r="D771" t="str">
            <v>NariñoSan Lorenzo</v>
          </cell>
          <cell r="E771" t="str">
            <v>Bajo</v>
          </cell>
          <cell r="F771">
            <v>52687</v>
          </cell>
        </row>
        <row r="772">
          <cell r="D772" t="str">
            <v>NariñoSan Pablo</v>
          </cell>
          <cell r="E772" t="str">
            <v>Limitado</v>
          </cell>
          <cell r="F772">
            <v>52693</v>
          </cell>
        </row>
        <row r="773">
          <cell r="D773" t="str">
            <v>NariñoSan Pedro de Cartago</v>
          </cell>
          <cell r="E773" t="str">
            <v>Limitado</v>
          </cell>
          <cell r="F773">
            <v>52694</v>
          </cell>
        </row>
        <row r="774">
          <cell r="D774" t="str">
            <v>NariñoSanta Bárbara</v>
          </cell>
          <cell r="E774" t="str">
            <v>Limitado</v>
          </cell>
          <cell r="F774">
            <v>52696</v>
          </cell>
        </row>
        <row r="775">
          <cell r="D775" t="str">
            <v>NariñoSantacruz</v>
          </cell>
          <cell r="E775" t="str">
            <v>Limitado</v>
          </cell>
          <cell r="F775">
            <v>52699</v>
          </cell>
        </row>
        <row r="776">
          <cell r="D776" t="str">
            <v>NariñoSapuyes</v>
          </cell>
          <cell r="E776" t="str">
            <v>Bajo</v>
          </cell>
          <cell r="F776">
            <v>52720</v>
          </cell>
        </row>
        <row r="777">
          <cell r="D777" t="str">
            <v>NariñoTaminango</v>
          </cell>
          <cell r="E777" t="str">
            <v>Bajo</v>
          </cell>
          <cell r="F777">
            <v>52786</v>
          </cell>
        </row>
        <row r="778">
          <cell r="D778" t="str">
            <v>NariñoTangua</v>
          </cell>
          <cell r="E778" t="str">
            <v>Bajo</v>
          </cell>
          <cell r="F778">
            <v>52788</v>
          </cell>
        </row>
        <row r="779">
          <cell r="D779" t="str">
            <v>NariñoSan Andrés de Tumaco</v>
          </cell>
          <cell r="E779" t="str">
            <v>Incipiente</v>
          </cell>
          <cell r="F779">
            <v>52835</v>
          </cell>
        </row>
        <row r="780">
          <cell r="D780" t="str">
            <v>NariñoTúquerres</v>
          </cell>
          <cell r="E780" t="str">
            <v>Incipiente</v>
          </cell>
          <cell r="F780">
            <v>52838</v>
          </cell>
        </row>
        <row r="781">
          <cell r="D781" t="str">
            <v>NariñoYacuanquer</v>
          </cell>
          <cell r="E781" t="str">
            <v>Bajo</v>
          </cell>
          <cell r="F781">
            <v>52885</v>
          </cell>
        </row>
        <row r="782">
          <cell r="D782" t="str">
            <v>Norte de SantanderSan Jose de Cucuta</v>
          </cell>
          <cell r="E782" t="str">
            <v>Moderado</v>
          </cell>
          <cell r="F782">
            <v>54001</v>
          </cell>
        </row>
        <row r="783">
          <cell r="D783" t="str">
            <v>Norte de SantanderÁbrego</v>
          </cell>
          <cell r="E783" t="str">
            <v>Bajo</v>
          </cell>
          <cell r="F783">
            <v>54003</v>
          </cell>
        </row>
        <row r="784">
          <cell r="D784" t="str">
            <v>Norte de SantanderArboledas</v>
          </cell>
          <cell r="E784" t="str">
            <v>Bajo</v>
          </cell>
          <cell r="F784">
            <v>54051</v>
          </cell>
        </row>
        <row r="785">
          <cell r="D785" t="str">
            <v>Norte de SantanderBochalema</v>
          </cell>
          <cell r="E785" t="str">
            <v>Bajo</v>
          </cell>
          <cell r="F785">
            <v>54099</v>
          </cell>
        </row>
        <row r="786">
          <cell r="D786" t="str">
            <v>Norte de SantanderBucarasica</v>
          </cell>
          <cell r="E786" t="str">
            <v>Limitado</v>
          </cell>
          <cell r="F786">
            <v>54109</v>
          </cell>
        </row>
        <row r="787">
          <cell r="D787" t="str">
            <v>Norte de SantanderCácota</v>
          </cell>
          <cell r="E787" t="str">
            <v>Limitado</v>
          </cell>
          <cell r="F787">
            <v>54125</v>
          </cell>
        </row>
        <row r="788">
          <cell r="D788" t="str">
            <v>Norte de SantanderCáchira</v>
          </cell>
          <cell r="E788" t="str">
            <v>Bajo</v>
          </cell>
          <cell r="F788">
            <v>54128</v>
          </cell>
        </row>
        <row r="789">
          <cell r="D789" t="str">
            <v>Norte de SantanderChinácota</v>
          </cell>
          <cell r="E789" t="str">
            <v>Incipiente</v>
          </cell>
          <cell r="F789">
            <v>54172</v>
          </cell>
        </row>
        <row r="790">
          <cell r="D790" t="str">
            <v>Norte de SantanderChitagá</v>
          </cell>
          <cell r="E790" t="str">
            <v>Bajo</v>
          </cell>
          <cell r="F790">
            <v>54174</v>
          </cell>
        </row>
        <row r="791">
          <cell r="D791" t="str">
            <v>Norte de SantanderConvención</v>
          </cell>
          <cell r="E791" t="str">
            <v>Limitado</v>
          </cell>
          <cell r="F791">
            <v>54206</v>
          </cell>
        </row>
        <row r="792">
          <cell r="D792" t="str">
            <v>Norte de SantanderCucutilla</v>
          </cell>
          <cell r="E792" t="str">
            <v>Bajo</v>
          </cell>
          <cell r="F792">
            <v>54223</v>
          </cell>
        </row>
        <row r="793">
          <cell r="D793" t="str">
            <v>Norte de SantanderDurania</v>
          </cell>
          <cell r="E793" t="str">
            <v>Bajo</v>
          </cell>
          <cell r="F793">
            <v>54239</v>
          </cell>
        </row>
        <row r="794">
          <cell r="D794" t="str">
            <v>Norte de SantanderEl Carmen</v>
          </cell>
          <cell r="E794" t="str">
            <v>Limitado</v>
          </cell>
          <cell r="F794">
            <v>54245</v>
          </cell>
        </row>
        <row r="795">
          <cell r="D795" t="str">
            <v>Norte de SantanderEl Tarra</v>
          </cell>
          <cell r="E795" t="str">
            <v>Limitado</v>
          </cell>
          <cell r="F795">
            <v>54250</v>
          </cell>
        </row>
        <row r="796">
          <cell r="D796" t="str">
            <v>Norte de SantanderEl Zulia</v>
          </cell>
          <cell r="E796" t="str">
            <v>Bajo</v>
          </cell>
          <cell r="F796">
            <v>54261</v>
          </cell>
        </row>
        <row r="797">
          <cell r="D797" t="str">
            <v>Norte de SantanderGramalote</v>
          </cell>
          <cell r="E797" t="str">
            <v>Bajo</v>
          </cell>
          <cell r="F797">
            <v>54313</v>
          </cell>
        </row>
        <row r="798">
          <cell r="D798" t="str">
            <v>Norte de SantanderHacarí</v>
          </cell>
          <cell r="E798" t="str">
            <v>Limitado</v>
          </cell>
          <cell r="F798">
            <v>54344</v>
          </cell>
        </row>
        <row r="799">
          <cell r="D799" t="str">
            <v>Norte de SantanderHerrán</v>
          </cell>
          <cell r="E799" t="str">
            <v>Limitado</v>
          </cell>
          <cell r="F799">
            <v>54347</v>
          </cell>
        </row>
        <row r="800">
          <cell r="D800" t="str">
            <v>Norte de SantanderLabateca</v>
          </cell>
          <cell r="E800" t="str">
            <v>Bajo</v>
          </cell>
          <cell r="F800">
            <v>54377</v>
          </cell>
        </row>
        <row r="801">
          <cell r="D801" t="str">
            <v>Norte de SantanderLa Esperanza</v>
          </cell>
          <cell r="E801" t="str">
            <v>Bajo</v>
          </cell>
          <cell r="F801">
            <v>54385</v>
          </cell>
        </row>
        <row r="802">
          <cell r="D802" t="str">
            <v>Norte de SantanderLa Playa</v>
          </cell>
          <cell r="E802" t="str">
            <v>Limitado</v>
          </cell>
          <cell r="F802">
            <v>54398</v>
          </cell>
        </row>
        <row r="803">
          <cell r="D803" t="str">
            <v>Norte de SantanderLos Patios</v>
          </cell>
          <cell r="E803" t="str">
            <v>Moderado</v>
          </cell>
          <cell r="F803">
            <v>54405</v>
          </cell>
        </row>
        <row r="804">
          <cell r="D804" t="str">
            <v>Norte de SantanderLourdes</v>
          </cell>
          <cell r="E804" t="str">
            <v>Bajo</v>
          </cell>
          <cell r="F804">
            <v>54418</v>
          </cell>
        </row>
        <row r="805">
          <cell r="D805" t="str">
            <v>Norte de SantanderMutiscua</v>
          </cell>
          <cell r="E805" t="str">
            <v>Bajo</v>
          </cell>
          <cell r="F805">
            <v>54480</v>
          </cell>
        </row>
        <row r="806">
          <cell r="D806" t="str">
            <v>Norte de SantanderOcaña</v>
          </cell>
          <cell r="E806" t="str">
            <v>Incipiente</v>
          </cell>
          <cell r="F806">
            <v>54498</v>
          </cell>
        </row>
        <row r="807">
          <cell r="D807" t="str">
            <v>Norte de SantanderPamplona</v>
          </cell>
          <cell r="E807" t="str">
            <v>Incipiente</v>
          </cell>
          <cell r="F807">
            <v>54518</v>
          </cell>
        </row>
        <row r="808">
          <cell r="D808" t="str">
            <v>Norte de SantanderPamplonita</v>
          </cell>
          <cell r="E808" t="str">
            <v>Bajo</v>
          </cell>
          <cell r="F808">
            <v>54520</v>
          </cell>
        </row>
        <row r="809">
          <cell r="D809" t="str">
            <v>Norte de SantanderPuerto Santander</v>
          </cell>
          <cell r="E809" t="str">
            <v>Incipiente</v>
          </cell>
          <cell r="F809">
            <v>54553</v>
          </cell>
        </row>
        <row r="810">
          <cell r="D810" t="str">
            <v>Norte de SantanderRagonvalia</v>
          </cell>
          <cell r="E810" t="str">
            <v>Bajo</v>
          </cell>
          <cell r="F810">
            <v>54599</v>
          </cell>
        </row>
        <row r="811">
          <cell r="D811" t="str">
            <v>Norte de SantanderSalazar</v>
          </cell>
          <cell r="E811" t="str">
            <v>Bajo</v>
          </cell>
          <cell r="F811">
            <v>54660</v>
          </cell>
        </row>
        <row r="812">
          <cell r="D812" t="str">
            <v>Norte de SantanderSan Calixto</v>
          </cell>
          <cell r="E812" t="str">
            <v>Limitado</v>
          </cell>
          <cell r="F812">
            <v>54670</v>
          </cell>
        </row>
        <row r="813">
          <cell r="D813" t="str">
            <v>Norte de SantanderSan Cayetano</v>
          </cell>
          <cell r="E813" t="str">
            <v>Bajo</v>
          </cell>
          <cell r="F813">
            <v>54673</v>
          </cell>
        </row>
        <row r="814">
          <cell r="D814" t="str">
            <v>Norte de SantanderSantiago</v>
          </cell>
          <cell r="E814" t="str">
            <v>Bajo</v>
          </cell>
          <cell r="F814">
            <v>54680</v>
          </cell>
        </row>
        <row r="815">
          <cell r="D815" t="str">
            <v>Norte de SantanderSardinata</v>
          </cell>
          <cell r="E815" t="str">
            <v>Bajo</v>
          </cell>
          <cell r="F815">
            <v>54720</v>
          </cell>
        </row>
        <row r="816">
          <cell r="D816" t="str">
            <v>Norte de SantanderSilos</v>
          </cell>
          <cell r="E816" t="str">
            <v>Bajo</v>
          </cell>
          <cell r="F816">
            <v>54743</v>
          </cell>
        </row>
        <row r="817">
          <cell r="D817" t="str">
            <v>Norte de SantanderTeorama</v>
          </cell>
          <cell r="E817" t="str">
            <v>Limitado</v>
          </cell>
          <cell r="F817">
            <v>54800</v>
          </cell>
        </row>
        <row r="818">
          <cell r="D818" t="str">
            <v>Norte de SantanderTibú</v>
          </cell>
          <cell r="E818" t="str">
            <v>Incipiente</v>
          </cell>
          <cell r="F818">
            <v>54810</v>
          </cell>
        </row>
        <row r="819">
          <cell r="D819" t="str">
            <v>Norte de SantanderToledo</v>
          </cell>
          <cell r="E819" t="str">
            <v>Bajo</v>
          </cell>
          <cell r="F819">
            <v>54820</v>
          </cell>
        </row>
        <row r="820">
          <cell r="D820" t="str">
            <v>Norte de SantanderVilla Caro</v>
          </cell>
          <cell r="E820" t="str">
            <v>Limitado</v>
          </cell>
          <cell r="F820">
            <v>54871</v>
          </cell>
        </row>
        <row r="821">
          <cell r="D821" t="str">
            <v>Norte de SantanderVilla del Rosario</v>
          </cell>
          <cell r="E821" t="str">
            <v>Moderado</v>
          </cell>
          <cell r="F821">
            <v>54874</v>
          </cell>
        </row>
        <row r="822">
          <cell r="D822" t="str">
            <v>QuindioArmenia</v>
          </cell>
          <cell r="E822" t="str">
            <v>Moderado</v>
          </cell>
          <cell r="F822">
            <v>63001</v>
          </cell>
        </row>
        <row r="823">
          <cell r="D823" t="str">
            <v>QuindioBuenavista</v>
          </cell>
          <cell r="E823" t="str">
            <v>Bajo</v>
          </cell>
          <cell r="F823">
            <v>63111</v>
          </cell>
        </row>
        <row r="824">
          <cell r="D824" t="str">
            <v>QuindioCalarca</v>
          </cell>
          <cell r="E824" t="str">
            <v>Moderado</v>
          </cell>
          <cell r="F824">
            <v>63130</v>
          </cell>
        </row>
        <row r="825">
          <cell r="D825" t="str">
            <v>QuindioCircasia</v>
          </cell>
          <cell r="E825" t="str">
            <v>Moderado</v>
          </cell>
          <cell r="F825">
            <v>63190</v>
          </cell>
        </row>
        <row r="826">
          <cell r="D826" t="str">
            <v>QuindioCórdoba</v>
          </cell>
          <cell r="E826" t="str">
            <v>Bajo</v>
          </cell>
          <cell r="F826">
            <v>63212</v>
          </cell>
        </row>
        <row r="827">
          <cell r="D827" t="str">
            <v>QuindioFilandia</v>
          </cell>
          <cell r="E827" t="str">
            <v>Incipiente</v>
          </cell>
          <cell r="F827">
            <v>63272</v>
          </cell>
        </row>
        <row r="828">
          <cell r="D828" t="str">
            <v>QuindioGénova</v>
          </cell>
          <cell r="E828" t="str">
            <v>Bajo</v>
          </cell>
          <cell r="F828">
            <v>63302</v>
          </cell>
        </row>
        <row r="829">
          <cell r="D829" t="str">
            <v>QuindioLa Tebaida</v>
          </cell>
          <cell r="E829" t="str">
            <v>Moderado</v>
          </cell>
          <cell r="F829">
            <v>63401</v>
          </cell>
        </row>
        <row r="830">
          <cell r="D830" t="str">
            <v>QuindioMontenegro</v>
          </cell>
          <cell r="E830" t="str">
            <v>Moderado</v>
          </cell>
          <cell r="F830">
            <v>63470</v>
          </cell>
        </row>
        <row r="831">
          <cell r="D831" t="str">
            <v>QuindioPijao</v>
          </cell>
          <cell r="E831" t="str">
            <v>Incipiente</v>
          </cell>
          <cell r="F831">
            <v>63548</v>
          </cell>
        </row>
        <row r="832">
          <cell r="D832" t="str">
            <v>QuindioQuimbaya</v>
          </cell>
          <cell r="E832" t="str">
            <v>Moderado</v>
          </cell>
          <cell r="F832">
            <v>63594</v>
          </cell>
        </row>
        <row r="833">
          <cell r="D833" t="str">
            <v>QuindioSalento</v>
          </cell>
          <cell r="E833" t="str">
            <v>Incipiente</v>
          </cell>
          <cell r="F833">
            <v>63690</v>
          </cell>
        </row>
        <row r="834">
          <cell r="D834" t="str">
            <v>RisaraldaPereira</v>
          </cell>
          <cell r="E834" t="str">
            <v>Moderado</v>
          </cell>
          <cell r="F834">
            <v>66001</v>
          </cell>
        </row>
        <row r="835">
          <cell r="D835" t="str">
            <v>RisaraldaApía</v>
          </cell>
          <cell r="E835" t="str">
            <v>Incipiente</v>
          </cell>
          <cell r="F835">
            <v>66045</v>
          </cell>
        </row>
        <row r="836">
          <cell r="D836" t="str">
            <v>RisaraldaBalboa</v>
          </cell>
          <cell r="E836" t="str">
            <v>Bajo</v>
          </cell>
          <cell r="F836">
            <v>66075</v>
          </cell>
        </row>
        <row r="837">
          <cell r="D837" t="str">
            <v>RisaraldaBelén de Umbría</v>
          </cell>
          <cell r="E837" t="str">
            <v>Incipiente</v>
          </cell>
          <cell r="F837">
            <v>66088</v>
          </cell>
        </row>
        <row r="838">
          <cell r="D838" t="str">
            <v>RisaraldaDosquebradas</v>
          </cell>
          <cell r="E838" t="str">
            <v>Moderado</v>
          </cell>
          <cell r="F838">
            <v>66170</v>
          </cell>
        </row>
        <row r="839">
          <cell r="D839" t="str">
            <v>RisaraldaGuática</v>
          </cell>
          <cell r="E839" t="str">
            <v>Bajo</v>
          </cell>
          <cell r="F839">
            <v>66318</v>
          </cell>
        </row>
        <row r="840">
          <cell r="D840" t="str">
            <v>RisaraldaLa Celia</v>
          </cell>
          <cell r="E840" t="str">
            <v>Incipiente</v>
          </cell>
          <cell r="F840">
            <v>66383</v>
          </cell>
        </row>
        <row r="841">
          <cell r="D841" t="str">
            <v>RisaraldaLa Virginia</v>
          </cell>
          <cell r="E841" t="str">
            <v>Moderado</v>
          </cell>
          <cell r="F841">
            <v>66400</v>
          </cell>
        </row>
        <row r="842">
          <cell r="D842" t="str">
            <v>RisaraldaMarsella</v>
          </cell>
          <cell r="E842" t="str">
            <v>Incipiente</v>
          </cell>
          <cell r="F842">
            <v>66440</v>
          </cell>
        </row>
        <row r="843">
          <cell r="D843" t="str">
            <v>RisaraldaMistrató</v>
          </cell>
          <cell r="E843" t="str">
            <v>Bajo</v>
          </cell>
          <cell r="F843">
            <v>66456</v>
          </cell>
        </row>
        <row r="844">
          <cell r="D844" t="str">
            <v>RisaraldaPueblo Rico</v>
          </cell>
          <cell r="E844" t="str">
            <v>Bajo</v>
          </cell>
          <cell r="F844">
            <v>66572</v>
          </cell>
        </row>
        <row r="845">
          <cell r="D845" t="str">
            <v>RisaraldaQuinchía</v>
          </cell>
          <cell r="E845" t="str">
            <v>Bajo</v>
          </cell>
          <cell r="F845">
            <v>66594</v>
          </cell>
        </row>
        <row r="846">
          <cell r="D846" t="str">
            <v>RisaraldaSanta Rosa de Cabal</v>
          </cell>
          <cell r="E846" t="str">
            <v>Moderado</v>
          </cell>
          <cell r="F846">
            <v>66682</v>
          </cell>
        </row>
        <row r="847">
          <cell r="D847" t="str">
            <v>RisaraldaSantuario</v>
          </cell>
          <cell r="E847" t="str">
            <v>Incipiente</v>
          </cell>
          <cell r="F847">
            <v>66687</v>
          </cell>
        </row>
        <row r="848">
          <cell r="D848" t="str">
            <v>SantanderBucaramanga</v>
          </cell>
          <cell r="E848" t="str">
            <v>Moderado</v>
          </cell>
          <cell r="F848">
            <v>68001</v>
          </cell>
        </row>
        <row r="849">
          <cell r="D849" t="str">
            <v>SantanderAguada</v>
          </cell>
          <cell r="E849" t="str">
            <v>Limitado</v>
          </cell>
          <cell r="F849">
            <v>68013</v>
          </cell>
        </row>
        <row r="850">
          <cell r="D850" t="str">
            <v>SantanderAlbania</v>
          </cell>
          <cell r="E850" t="str">
            <v>Limitado</v>
          </cell>
          <cell r="F850">
            <v>68020</v>
          </cell>
        </row>
        <row r="851">
          <cell r="D851" t="str">
            <v>SantanderAratoca</v>
          </cell>
          <cell r="E851" t="str">
            <v>Bajo</v>
          </cell>
          <cell r="F851">
            <v>68051</v>
          </cell>
        </row>
        <row r="852">
          <cell r="D852" t="str">
            <v>SantanderBarbosa</v>
          </cell>
          <cell r="E852" t="str">
            <v>Incipiente</v>
          </cell>
          <cell r="F852">
            <v>68077</v>
          </cell>
        </row>
        <row r="853">
          <cell r="D853" t="str">
            <v>SantanderBarichara</v>
          </cell>
          <cell r="E853" t="str">
            <v>Incipiente</v>
          </cell>
          <cell r="F853">
            <v>68079</v>
          </cell>
        </row>
        <row r="854">
          <cell r="D854" t="str">
            <v>SantanderBarrancabermeja</v>
          </cell>
          <cell r="E854" t="str">
            <v>Moderado</v>
          </cell>
          <cell r="F854">
            <v>68081</v>
          </cell>
        </row>
        <row r="855">
          <cell r="D855" t="str">
            <v>SantanderBetulia</v>
          </cell>
          <cell r="E855" t="str">
            <v>Limitado</v>
          </cell>
          <cell r="F855">
            <v>68092</v>
          </cell>
        </row>
        <row r="856">
          <cell r="D856" t="str">
            <v>SantanderBolívar</v>
          </cell>
          <cell r="E856" t="str">
            <v>Bajo</v>
          </cell>
          <cell r="F856">
            <v>68101</v>
          </cell>
        </row>
        <row r="857">
          <cell r="D857" t="str">
            <v>SantanderCabrera</v>
          </cell>
          <cell r="E857" t="str">
            <v>Limitado</v>
          </cell>
          <cell r="F857">
            <v>68121</v>
          </cell>
        </row>
        <row r="858">
          <cell r="D858" t="str">
            <v>SantanderCalifornia</v>
          </cell>
          <cell r="E858" t="str">
            <v>Bajo</v>
          </cell>
          <cell r="F858">
            <v>68132</v>
          </cell>
        </row>
        <row r="859">
          <cell r="D859" t="str">
            <v>SantanderCapitanejo</v>
          </cell>
          <cell r="E859" t="str">
            <v>Bajo</v>
          </cell>
          <cell r="F859">
            <v>68147</v>
          </cell>
        </row>
        <row r="860">
          <cell r="D860" t="str">
            <v>SantanderCarcasí</v>
          </cell>
          <cell r="E860" t="str">
            <v>Limitado</v>
          </cell>
          <cell r="F860">
            <v>68152</v>
          </cell>
        </row>
        <row r="861">
          <cell r="D861" t="str">
            <v>SantanderCepitá</v>
          </cell>
          <cell r="E861" t="str">
            <v>Limitado</v>
          </cell>
          <cell r="F861">
            <v>68160</v>
          </cell>
        </row>
        <row r="862">
          <cell r="D862" t="str">
            <v>SantanderCerrito</v>
          </cell>
          <cell r="E862" t="str">
            <v>Bajo</v>
          </cell>
          <cell r="F862">
            <v>68162</v>
          </cell>
        </row>
        <row r="863">
          <cell r="D863" t="str">
            <v>SantanderCharalá</v>
          </cell>
          <cell r="E863" t="str">
            <v>Incipiente</v>
          </cell>
          <cell r="F863">
            <v>68167</v>
          </cell>
        </row>
        <row r="864">
          <cell r="D864" t="str">
            <v>SantanderCharta</v>
          </cell>
          <cell r="E864" t="str">
            <v>Bajo</v>
          </cell>
          <cell r="F864">
            <v>68169</v>
          </cell>
        </row>
        <row r="865">
          <cell r="D865" t="str">
            <v>SantanderChimá</v>
          </cell>
          <cell r="E865" t="str">
            <v>Limitado</v>
          </cell>
          <cell r="F865">
            <v>68176</v>
          </cell>
        </row>
        <row r="866">
          <cell r="D866" t="str">
            <v>SantanderChipatá</v>
          </cell>
          <cell r="E866" t="str">
            <v>Limitado</v>
          </cell>
          <cell r="F866">
            <v>68179</v>
          </cell>
        </row>
        <row r="867">
          <cell r="D867" t="str">
            <v>SantanderCimitarra</v>
          </cell>
          <cell r="E867" t="str">
            <v>Incipiente</v>
          </cell>
          <cell r="F867">
            <v>68190</v>
          </cell>
        </row>
        <row r="868">
          <cell r="D868" t="str">
            <v>SantanderConcepción</v>
          </cell>
          <cell r="E868" t="str">
            <v>Bajo</v>
          </cell>
          <cell r="F868">
            <v>68207</v>
          </cell>
        </row>
        <row r="869">
          <cell r="D869" t="str">
            <v>SantanderConfines</v>
          </cell>
          <cell r="E869" t="str">
            <v>Limitado</v>
          </cell>
          <cell r="F869">
            <v>68209</v>
          </cell>
        </row>
        <row r="870">
          <cell r="D870" t="str">
            <v>SantanderContratación</v>
          </cell>
          <cell r="E870" t="str">
            <v>Limitado</v>
          </cell>
          <cell r="F870">
            <v>68211</v>
          </cell>
        </row>
        <row r="871">
          <cell r="D871" t="str">
            <v>SantanderCoromoro</v>
          </cell>
          <cell r="E871" t="str">
            <v>Limitado</v>
          </cell>
          <cell r="F871">
            <v>68217</v>
          </cell>
        </row>
        <row r="872">
          <cell r="D872" t="str">
            <v>SantanderCurití</v>
          </cell>
          <cell r="E872" t="str">
            <v>Incipiente</v>
          </cell>
          <cell r="F872">
            <v>68229</v>
          </cell>
        </row>
        <row r="873">
          <cell r="D873" t="str">
            <v>SantanderEl Carmen de Chucurí</v>
          </cell>
          <cell r="E873" t="str">
            <v>Bajo</v>
          </cell>
          <cell r="F873">
            <v>68235</v>
          </cell>
        </row>
        <row r="874">
          <cell r="D874" t="str">
            <v>SantanderEl Guacamayo</v>
          </cell>
          <cell r="E874" t="str">
            <v>Limitado</v>
          </cell>
          <cell r="F874">
            <v>68245</v>
          </cell>
        </row>
        <row r="875">
          <cell r="D875" t="str">
            <v>SantanderEl Peñón</v>
          </cell>
          <cell r="E875" t="str">
            <v>Limitado</v>
          </cell>
          <cell r="F875">
            <v>68250</v>
          </cell>
        </row>
        <row r="876">
          <cell r="D876" t="str">
            <v>SantanderEl Playón</v>
          </cell>
          <cell r="E876" t="str">
            <v>Bajo</v>
          </cell>
          <cell r="F876">
            <v>68255</v>
          </cell>
        </row>
        <row r="877">
          <cell r="D877" t="str">
            <v>SantanderEncino</v>
          </cell>
          <cell r="E877" t="str">
            <v>Limitado</v>
          </cell>
          <cell r="F877">
            <v>68264</v>
          </cell>
        </row>
        <row r="878">
          <cell r="D878" t="str">
            <v>SantanderEnciso</v>
          </cell>
          <cell r="E878" t="str">
            <v>Bajo</v>
          </cell>
          <cell r="F878">
            <v>68266</v>
          </cell>
        </row>
        <row r="879">
          <cell r="D879" t="str">
            <v>SantanderFlorián</v>
          </cell>
          <cell r="E879" t="str">
            <v>Limitado</v>
          </cell>
          <cell r="F879">
            <v>68271</v>
          </cell>
        </row>
        <row r="880">
          <cell r="D880" t="str">
            <v>SantanderFloridablanca</v>
          </cell>
          <cell r="E880" t="str">
            <v>Moderado</v>
          </cell>
          <cell r="F880">
            <v>68276</v>
          </cell>
        </row>
        <row r="881">
          <cell r="D881" t="str">
            <v>SantanderGalán</v>
          </cell>
          <cell r="E881" t="str">
            <v>Limitado</v>
          </cell>
          <cell r="F881">
            <v>68296</v>
          </cell>
        </row>
        <row r="882">
          <cell r="D882" t="str">
            <v>SantanderGámbita</v>
          </cell>
          <cell r="E882" t="str">
            <v>Limitado</v>
          </cell>
          <cell r="F882">
            <v>68298</v>
          </cell>
        </row>
        <row r="883">
          <cell r="D883" t="str">
            <v>SantanderGiron</v>
          </cell>
          <cell r="E883" t="str">
            <v>Moderado</v>
          </cell>
          <cell r="F883">
            <v>68307</v>
          </cell>
        </row>
        <row r="884">
          <cell r="D884" t="str">
            <v>SantanderGuaca</v>
          </cell>
          <cell r="E884" t="str">
            <v>Bajo</v>
          </cell>
          <cell r="F884">
            <v>68318</v>
          </cell>
        </row>
        <row r="885">
          <cell r="D885" t="str">
            <v>SantanderGuadalupe</v>
          </cell>
          <cell r="E885" t="str">
            <v>Bajo</v>
          </cell>
          <cell r="F885">
            <v>68320</v>
          </cell>
        </row>
        <row r="886">
          <cell r="D886" t="str">
            <v>SantanderGuapotá</v>
          </cell>
          <cell r="E886" t="str">
            <v>Bajo</v>
          </cell>
          <cell r="F886">
            <v>68322</v>
          </cell>
        </row>
        <row r="887">
          <cell r="D887" t="str">
            <v>SantanderGuavatá</v>
          </cell>
          <cell r="E887" t="str">
            <v>Bajo</v>
          </cell>
          <cell r="F887">
            <v>68324</v>
          </cell>
        </row>
        <row r="888">
          <cell r="D888" t="str">
            <v>SantanderGüepsa</v>
          </cell>
          <cell r="E888" t="str">
            <v>Bajo</v>
          </cell>
          <cell r="F888">
            <v>68327</v>
          </cell>
        </row>
        <row r="889">
          <cell r="D889" t="str">
            <v>SantanderHato</v>
          </cell>
          <cell r="E889" t="str">
            <v>Limitado</v>
          </cell>
          <cell r="F889">
            <v>68344</v>
          </cell>
        </row>
        <row r="890">
          <cell r="D890" t="str">
            <v>SantanderJesús María</v>
          </cell>
          <cell r="E890" t="str">
            <v>Bajo</v>
          </cell>
          <cell r="F890">
            <v>68368</v>
          </cell>
        </row>
        <row r="891">
          <cell r="D891" t="str">
            <v>SantanderJordán</v>
          </cell>
          <cell r="E891" t="str">
            <v>Limitado</v>
          </cell>
          <cell r="F891">
            <v>68370</v>
          </cell>
        </row>
        <row r="892">
          <cell r="D892" t="str">
            <v>SantanderLa Belleza</v>
          </cell>
          <cell r="E892" t="str">
            <v>Limitado</v>
          </cell>
          <cell r="F892">
            <v>68377</v>
          </cell>
        </row>
        <row r="893">
          <cell r="D893" t="str">
            <v>SantanderLandázuri</v>
          </cell>
          <cell r="E893" t="str">
            <v>Bajo</v>
          </cell>
          <cell r="F893">
            <v>68385</v>
          </cell>
        </row>
        <row r="894">
          <cell r="D894" t="str">
            <v>SantanderLa Paz</v>
          </cell>
          <cell r="E894" t="str">
            <v>Limitado</v>
          </cell>
          <cell r="F894">
            <v>68397</v>
          </cell>
        </row>
        <row r="895">
          <cell r="D895" t="str">
            <v>SantanderLebrija</v>
          </cell>
          <cell r="E895" t="str">
            <v>Incipiente</v>
          </cell>
          <cell r="F895">
            <v>68406</v>
          </cell>
        </row>
        <row r="896">
          <cell r="D896" t="str">
            <v>SantanderLos Santos</v>
          </cell>
          <cell r="E896" t="str">
            <v>Bajo</v>
          </cell>
          <cell r="F896">
            <v>68418</v>
          </cell>
        </row>
        <row r="897">
          <cell r="D897" t="str">
            <v>SantanderMacaravita</v>
          </cell>
          <cell r="E897" t="str">
            <v>Limitado</v>
          </cell>
          <cell r="F897">
            <v>68425</v>
          </cell>
        </row>
        <row r="898">
          <cell r="D898" t="str">
            <v>SantanderMálaga</v>
          </cell>
          <cell r="E898" t="str">
            <v>Incipiente</v>
          </cell>
          <cell r="F898">
            <v>68432</v>
          </cell>
        </row>
        <row r="899">
          <cell r="D899" t="str">
            <v>SantanderMatanza</v>
          </cell>
          <cell r="E899" t="str">
            <v>Bajo</v>
          </cell>
          <cell r="F899">
            <v>68444</v>
          </cell>
        </row>
        <row r="900">
          <cell r="D900" t="str">
            <v>SantanderMogotes</v>
          </cell>
          <cell r="E900" t="str">
            <v>Bajo</v>
          </cell>
          <cell r="F900">
            <v>68464</v>
          </cell>
        </row>
        <row r="901">
          <cell r="D901" t="str">
            <v>SantanderMolagavita</v>
          </cell>
          <cell r="E901" t="str">
            <v>Limitado</v>
          </cell>
          <cell r="F901">
            <v>68468</v>
          </cell>
        </row>
        <row r="902">
          <cell r="D902" t="str">
            <v>SantanderOcamonte</v>
          </cell>
          <cell r="E902" t="str">
            <v>Bajo</v>
          </cell>
          <cell r="F902">
            <v>68498</v>
          </cell>
        </row>
        <row r="903">
          <cell r="D903" t="str">
            <v>SantanderOiba</v>
          </cell>
          <cell r="E903" t="str">
            <v>Bajo</v>
          </cell>
          <cell r="F903">
            <v>68500</v>
          </cell>
        </row>
        <row r="904">
          <cell r="D904" t="str">
            <v>SantanderOnzaga</v>
          </cell>
          <cell r="E904" t="str">
            <v>Limitado</v>
          </cell>
          <cell r="F904">
            <v>68502</v>
          </cell>
        </row>
        <row r="905">
          <cell r="D905" t="str">
            <v>SantanderPalmar</v>
          </cell>
          <cell r="E905" t="str">
            <v>Bajo</v>
          </cell>
          <cell r="F905">
            <v>68522</v>
          </cell>
        </row>
        <row r="906">
          <cell r="D906" t="str">
            <v>SantanderPalmas del Socorro</v>
          </cell>
          <cell r="E906" t="str">
            <v>Bajo</v>
          </cell>
          <cell r="F906">
            <v>68524</v>
          </cell>
        </row>
        <row r="907">
          <cell r="D907" t="str">
            <v>SantanderPáramo</v>
          </cell>
          <cell r="E907" t="str">
            <v>Bajo</v>
          </cell>
          <cell r="F907">
            <v>68533</v>
          </cell>
        </row>
        <row r="908">
          <cell r="D908" t="str">
            <v>SantanderPiedecuesta</v>
          </cell>
          <cell r="E908" t="str">
            <v>Moderado</v>
          </cell>
          <cell r="F908">
            <v>68547</v>
          </cell>
        </row>
        <row r="909">
          <cell r="D909" t="str">
            <v>SantanderPinchote</v>
          </cell>
          <cell r="E909" t="str">
            <v>Incipiente</v>
          </cell>
          <cell r="F909">
            <v>68549</v>
          </cell>
        </row>
        <row r="910">
          <cell r="D910" t="str">
            <v>SantanderPuente Nacional</v>
          </cell>
          <cell r="E910" t="str">
            <v>Bajo</v>
          </cell>
          <cell r="F910">
            <v>68572</v>
          </cell>
        </row>
        <row r="911">
          <cell r="D911" t="str">
            <v>SantanderPuerto Parra</v>
          </cell>
          <cell r="E911" t="str">
            <v>Bajo</v>
          </cell>
          <cell r="F911">
            <v>68573</v>
          </cell>
        </row>
        <row r="912">
          <cell r="D912" t="str">
            <v>SantanderPuerto Wilches</v>
          </cell>
          <cell r="E912" t="str">
            <v>Incipiente</v>
          </cell>
          <cell r="F912">
            <v>68575</v>
          </cell>
        </row>
        <row r="913">
          <cell r="D913" t="str">
            <v>SantanderRionegro</v>
          </cell>
          <cell r="E913" t="str">
            <v>Bajo</v>
          </cell>
          <cell r="F913">
            <v>68615</v>
          </cell>
        </row>
        <row r="914">
          <cell r="D914" t="str">
            <v>SantanderSabana de Torres</v>
          </cell>
          <cell r="E914" t="str">
            <v>Incipiente</v>
          </cell>
          <cell r="F914">
            <v>68655</v>
          </cell>
        </row>
        <row r="915">
          <cell r="D915" t="str">
            <v>SantanderSan Andrés</v>
          </cell>
          <cell r="E915" t="str">
            <v>Bajo</v>
          </cell>
          <cell r="F915">
            <v>68669</v>
          </cell>
        </row>
        <row r="916">
          <cell r="D916" t="str">
            <v>SantanderSan Benito</v>
          </cell>
          <cell r="E916" t="str">
            <v>Limitado</v>
          </cell>
          <cell r="F916">
            <v>68673</v>
          </cell>
        </row>
        <row r="917">
          <cell r="D917" t="str">
            <v>SantanderSan Gil</v>
          </cell>
          <cell r="E917" t="str">
            <v>Moderado</v>
          </cell>
          <cell r="F917">
            <v>68679</v>
          </cell>
        </row>
        <row r="918">
          <cell r="D918" t="str">
            <v>SantanderSan Joaquín</v>
          </cell>
          <cell r="E918" t="str">
            <v>Limitado</v>
          </cell>
          <cell r="F918">
            <v>68682</v>
          </cell>
        </row>
        <row r="919">
          <cell r="D919" t="str">
            <v>SantanderSan José de Miranda</v>
          </cell>
          <cell r="E919" t="str">
            <v>Limitado</v>
          </cell>
          <cell r="F919">
            <v>68684</v>
          </cell>
        </row>
        <row r="920">
          <cell r="D920" t="str">
            <v>SantanderSan Miguel</v>
          </cell>
          <cell r="E920" t="str">
            <v>Limitado</v>
          </cell>
          <cell r="F920">
            <v>68686</v>
          </cell>
        </row>
        <row r="921">
          <cell r="D921" t="str">
            <v>SantanderSan Vicente de Chucurí</v>
          </cell>
          <cell r="E921" t="str">
            <v>Incipiente</v>
          </cell>
          <cell r="F921">
            <v>68689</v>
          </cell>
        </row>
        <row r="922">
          <cell r="D922" t="str">
            <v>SantanderSanta Bárbara</v>
          </cell>
          <cell r="E922" t="str">
            <v>Limitado</v>
          </cell>
          <cell r="F922">
            <v>68705</v>
          </cell>
        </row>
        <row r="923">
          <cell r="D923" t="str">
            <v>SantanderSanta Helena del Opón</v>
          </cell>
          <cell r="E923" t="str">
            <v>Limitado</v>
          </cell>
          <cell r="F923">
            <v>68720</v>
          </cell>
        </row>
        <row r="924">
          <cell r="D924" t="str">
            <v>SantanderSimacota</v>
          </cell>
          <cell r="E924" t="str">
            <v>Bajo</v>
          </cell>
          <cell r="F924">
            <v>68745</v>
          </cell>
        </row>
        <row r="925">
          <cell r="D925" t="str">
            <v>SantanderSocorro</v>
          </cell>
          <cell r="E925" t="str">
            <v>Incipiente</v>
          </cell>
          <cell r="F925">
            <v>68755</v>
          </cell>
        </row>
        <row r="926">
          <cell r="D926" t="str">
            <v>SantanderSuaita</v>
          </cell>
          <cell r="E926" t="str">
            <v>Bajo</v>
          </cell>
          <cell r="F926">
            <v>68770</v>
          </cell>
        </row>
        <row r="927">
          <cell r="D927" t="str">
            <v>SantanderSucre</v>
          </cell>
          <cell r="E927" t="str">
            <v>Limitado</v>
          </cell>
          <cell r="F927">
            <v>68773</v>
          </cell>
        </row>
        <row r="928">
          <cell r="D928" t="str">
            <v>SantanderSuratá</v>
          </cell>
          <cell r="E928" t="str">
            <v>Bajo</v>
          </cell>
          <cell r="F928">
            <v>68780</v>
          </cell>
        </row>
        <row r="929">
          <cell r="D929" t="str">
            <v>SantanderTona</v>
          </cell>
          <cell r="E929" t="str">
            <v>Limitado</v>
          </cell>
          <cell r="F929">
            <v>68820</v>
          </cell>
        </row>
        <row r="930">
          <cell r="D930" t="str">
            <v>SantanderValle de San José</v>
          </cell>
          <cell r="E930" t="str">
            <v>Bajo</v>
          </cell>
          <cell r="F930">
            <v>68855</v>
          </cell>
        </row>
        <row r="931">
          <cell r="D931" t="str">
            <v>SantanderVélez</v>
          </cell>
          <cell r="E931" t="str">
            <v>Incipiente</v>
          </cell>
          <cell r="F931">
            <v>68861</v>
          </cell>
        </row>
        <row r="932">
          <cell r="D932" t="str">
            <v>SantanderVetas</v>
          </cell>
          <cell r="E932" t="str">
            <v>Bajo</v>
          </cell>
          <cell r="F932">
            <v>68867</v>
          </cell>
        </row>
        <row r="933">
          <cell r="D933" t="str">
            <v>SantanderVillanueva</v>
          </cell>
          <cell r="E933" t="str">
            <v>Bajo</v>
          </cell>
          <cell r="F933">
            <v>68872</v>
          </cell>
        </row>
        <row r="934">
          <cell r="D934" t="str">
            <v>SantanderZapatoca</v>
          </cell>
          <cell r="E934" t="str">
            <v>Bajo</v>
          </cell>
          <cell r="F934">
            <v>68895</v>
          </cell>
        </row>
        <row r="935">
          <cell r="D935" t="str">
            <v>SucreSincelejo</v>
          </cell>
          <cell r="E935" t="str">
            <v>Moderado</v>
          </cell>
          <cell r="F935">
            <v>70001</v>
          </cell>
        </row>
        <row r="936">
          <cell r="D936" t="str">
            <v>SucreBuenavista</v>
          </cell>
          <cell r="E936" t="str">
            <v>Bajo</v>
          </cell>
          <cell r="F936">
            <v>70110</v>
          </cell>
        </row>
        <row r="937">
          <cell r="D937" t="str">
            <v>SucreCaimito</v>
          </cell>
          <cell r="E937" t="str">
            <v>Bajo</v>
          </cell>
          <cell r="F937">
            <v>70124</v>
          </cell>
        </row>
        <row r="938">
          <cell r="D938" t="str">
            <v>SucreColoso</v>
          </cell>
          <cell r="E938" t="str">
            <v>Bajo</v>
          </cell>
          <cell r="F938">
            <v>70204</v>
          </cell>
        </row>
        <row r="939">
          <cell r="D939" t="str">
            <v>SucreCorozal</v>
          </cell>
          <cell r="E939" t="str">
            <v>Moderado</v>
          </cell>
          <cell r="F939">
            <v>70215</v>
          </cell>
        </row>
        <row r="940">
          <cell r="D940" t="str">
            <v>SucreCoveñas</v>
          </cell>
          <cell r="E940" t="str">
            <v>Incipiente</v>
          </cell>
          <cell r="F940">
            <v>70221</v>
          </cell>
        </row>
        <row r="941">
          <cell r="D941" t="str">
            <v>SucreChalán</v>
          </cell>
          <cell r="E941" t="str">
            <v>Limitado</v>
          </cell>
          <cell r="F941">
            <v>70230</v>
          </cell>
        </row>
        <row r="942">
          <cell r="D942" t="str">
            <v>SucreEl Roble</v>
          </cell>
          <cell r="E942" t="str">
            <v>Limitado</v>
          </cell>
          <cell r="F942">
            <v>70233</v>
          </cell>
        </row>
        <row r="943">
          <cell r="D943" t="str">
            <v>SucreGaleras</v>
          </cell>
          <cell r="E943" t="str">
            <v>Bajo</v>
          </cell>
          <cell r="F943">
            <v>70235</v>
          </cell>
        </row>
        <row r="944">
          <cell r="D944" t="str">
            <v>SucreGuaranda</v>
          </cell>
          <cell r="E944" t="str">
            <v>Bajo</v>
          </cell>
          <cell r="F944">
            <v>70265</v>
          </cell>
        </row>
        <row r="945">
          <cell r="D945" t="str">
            <v>SucreLa Unión</v>
          </cell>
          <cell r="E945" t="str">
            <v>Bajo</v>
          </cell>
          <cell r="F945">
            <v>70400</v>
          </cell>
        </row>
        <row r="946">
          <cell r="D946" t="str">
            <v>SucreLos Palmitos</v>
          </cell>
          <cell r="E946" t="str">
            <v>Incipiente</v>
          </cell>
          <cell r="F946">
            <v>70418</v>
          </cell>
        </row>
        <row r="947">
          <cell r="D947" t="str">
            <v>SucreMajagual</v>
          </cell>
          <cell r="E947" t="str">
            <v>Bajo</v>
          </cell>
          <cell r="F947">
            <v>70429</v>
          </cell>
        </row>
        <row r="948">
          <cell r="D948" t="str">
            <v>SucreMorroa</v>
          </cell>
          <cell r="E948" t="str">
            <v>Incipiente</v>
          </cell>
          <cell r="F948">
            <v>70473</v>
          </cell>
        </row>
        <row r="949">
          <cell r="D949" t="str">
            <v>SucreOvejas</v>
          </cell>
          <cell r="E949" t="str">
            <v>Bajo</v>
          </cell>
          <cell r="F949">
            <v>70508</v>
          </cell>
        </row>
        <row r="950">
          <cell r="D950" t="str">
            <v>SucrePalmito</v>
          </cell>
          <cell r="E950" t="str">
            <v>Bajo</v>
          </cell>
          <cell r="F950">
            <v>70523</v>
          </cell>
        </row>
        <row r="951">
          <cell r="D951" t="str">
            <v>SucreSampués</v>
          </cell>
          <cell r="E951" t="str">
            <v>Incipiente</v>
          </cell>
          <cell r="F951">
            <v>70670</v>
          </cell>
        </row>
        <row r="952">
          <cell r="D952" t="str">
            <v>SucreSan Benito Abad</v>
          </cell>
          <cell r="E952" t="str">
            <v>Bajo</v>
          </cell>
          <cell r="F952">
            <v>70678</v>
          </cell>
        </row>
        <row r="953">
          <cell r="D953" t="str">
            <v>SucreSan Juan de Betulia</v>
          </cell>
          <cell r="E953" t="str">
            <v>Bajo</v>
          </cell>
          <cell r="F953">
            <v>70702</v>
          </cell>
        </row>
        <row r="954">
          <cell r="D954" t="str">
            <v>SucreSan Marcos</v>
          </cell>
          <cell r="E954" t="str">
            <v>Bajo</v>
          </cell>
          <cell r="F954">
            <v>70708</v>
          </cell>
        </row>
        <row r="955">
          <cell r="D955" t="str">
            <v>SucreSan Onofre</v>
          </cell>
          <cell r="E955" t="str">
            <v>Bajo</v>
          </cell>
          <cell r="F955">
            <v>70713</v>
          </cell>
        </row>
        <row r="956">
          <cell r="D956" t="str">
            <v>SucreSan Pedro</v>
          </cell>
          <cell r="E956" t="str">
            <v>Bajo</v>
          </cell>
          <cell r="F956">
            <v>70717</v>
          </cell>
        </row>
        <row r="957">
          <cell r="D957" t="str">
            <v>SucreSan Luis de Sincé</v>
          </cell>
          <cell r="E957" t="str">
            <v>Incipiente</v>
          </cell>
          <cell r="F957">
            <v>70742</v>
          </cell>
        </row>
        <row r="958">
          <cell r="D958" t="str">
            <v>SucreSucre</v>
          </cell>
          <cell r="E958" t="str">
            <v>Limitado</v>
          </cell>
          <cell r="F958">
            <v>70771</v>
          </cell>
        </row>
        <row r="959">
          <cell r="D959" t="str">
            <v>SucreSantiago de Tolú</v>
          </cell>
          <cell r="E959" t="str">
            <v>Incipiente</v>
          </cell>
          <cell r="F959">
            <v>70820</v>
          </cell>
        </row>
        <row r="960">
          <cell r="D960" t="str">
            <v>SucreTolú Viejo</v>
          </cell>
          <cell r="E960" t="str">
            <v>Incipiente</v>
          </cell>
          <cell r="F960">
            <v>70823</v>
          </cell>
        </row>
        <row r="961">
          <cell r="D961" t="str">
            <v>TolimaIbague</v>
          </cell>
          <cell r="E961" t="str">
            <v>Moderado</v>
          </cell>
          <cell r="F961">
            <v>73001</v>
          </cell>
        </row>
        <row r="962">
          <cell r="D962" t="str">
            <v>TolimaAlpujarra</v>
          </cell>
          <cell r="E962" t="str">
            <v>Bajo</v>
          </cell>
          <cell r="F962">
            <v>73024</v>
          </cell>
        </row>
        <row r="963">
          <cell r="D963" t="str">
            <v>TolimaAlvarado</v>
          </cell>
          <cell r="E963" t="str">
            <v>Bajo</v>
          </cell>
          <cell r="F963">
            <v>73026</v>
          </cell>
        </row>
        <row r="964">
          <cell r="D964" t="str">
            <v>TolimaAmbalema</v>
          </cell>
          <cell r="E964" t="str">
            <v>Incipiente</v>
          </cell>
          <cell r="F964">
            <v>73030</v>
          </cell>
        </row>
        <row r="965">
          <cell r="D965" t="str">
            <v>TolimaAnzoátegui</v>
          </cell>
          <cell r="E965" t="str">
            <v>Bajo</v>
          </cell>
          <cell r="F965">
            <v>73043</v>
          </cell>
        </row>
        <row r="966">
          <cell r="D966" t="str">
            <v>TolimaArmero</v>
          </cell>
          <cell r="E966" t="str">
            <v>Bajo</v>
          </cell>
          <cell r="F966">
            <v>73055</v>
          </cell>
        </row>
        <row r="967">
          <cell r="D967" t="str">
            <v>TolimaAtaco</v>
          </cell>
          <cell r="E967" t="str">
            <v>Bajo</v>
          </cell>
          <cell r="F967">
            <v>73067</v>
          </cell>
        </row>
        <row r="968">
          <cell r="D968" t="str">
            <v>TolimaCajamarca</v>
          </cell>
          <cell r="E968" t="str">
            <v>Bajo</v>
          </cell>
          <cell r="F968">
            <v>73124</v>
          </cell>
        </row>
        <row r="969">
          <cell r="D969" t="str">
            <v>TolimaCarmen de Apicalá</v>
          </cell>
          <cell r="E969" t="str">
            <v>Incipiente</v>
          </cell>
          <cell r="F969">
            <v>73148</v>
          </cell>
        </row>
        <row r="970">
          <cell r="D970" t="str">
            <v>TolimaCasabianca</v>
          </cell>
          <cell r="E970" t="str">
            <v>Bajo</v>
          </cell>
          <cell r="F970">
            <v>73152</v>
          </cell>
        </row>
        <row r="971">
          <cell r="D971" t="str">
            <v>TolimaChaparral</v>
          </cell>
          <cell r="E971" t="str">
            <v>Incipiente</v>
          </cell>
          <cell r="F971">
            <v>73168</v>
          </cell>
        </row>
        <row r="972">
          <cell r="D972" t="str">
            <v>TolimaCoello</v>
          </cell>
          <cell r="E972" t="str">
            <v>Incipiente</v>
          </cell>
          <cell r="F972">
            <v>73200</v>
          </cell>
        </row>
        <row r="973">
          <cell r="D973" t="str">
            <v>TolimaCoyaima</v>
          </cell>
          <cell r="E973" t="str">
            <v>Bajo</v>
          </cell>
          <cell r="F973">
            <v>73217</v>
          </cell>
        </row>
        <row r="974">
          <cell r="D974" t="str">
            <v>TolimaCunday</v>
          </cell>
          <cell r="E974" t="str">
            <v>Bajo</v>
          </cell>
          <cell r="F974">
            <v>73226</v>
          </cell>
        </row>
        <row r="975">
          <cell r="D975" t="str">
            <v>TolimaDolores</v>
          </cell>
          <cell r="E975" t="str">
            <v>Bajo</v>
          </cell>
          <cell r="F975">
            <v>73236</v>
          </cell>
        </row>
        <row r="976">
          <cell r="D976" t="str">
            <v>TolimaEspinal</v>
          </cell>
          <cell r="E976" t="str">
            <v>Moderado</v>
          </cell>
          <cell r="F976">
            <v>73268</v>
          </cell>
        </row>
        <row r="977">
          <cell r="D977" t="str">
            <v>TolimaFalan</v>
          </cell>
          <cell r="E977" t="str">
            <v>Bajo</v>
          </cell>
          <cell r="F977">
            <v>73270</v>
          </cell>
        </row>
        <row r="978">
          <cell r="D978" t="str">
            <v>TolimaFlandes</v>
          </cell>
          <cell r="E978" t="str">
            <v>Moderado</v>
          </cell>
          <cell r="F978">
            <v>73275</v>
          </cell>
        </row>
        <row r="979">
          <cell r="D979" t="str">
            <v>TolimaFresno</v>
          </cell>
          <cell r="E979" t="str">
            <v>Incipiente</v>
          </cell>
          <cell r="F979">
            <v>73283</v>
          </cell>
        </row>
        <row r="980">
          <cell r="D980" t="str">
            <v>TolimaGuamo</v>
          </cell>
          <cell r="E980" t="str">
            <v>Incipiente</v>
          </cell>
          <cell r="F980">
            <v>73319</v>
          </cell>
        </row>
        <row r="981">
          <cell r="D981" t="str">
            <v>TolimaHerveo</v>
          </cell>
          <cell r="E981" t="str">
            <v>Bajo</v>
          </cell>
          <cell r="F981">
            <v>73347</v>
          </cell>
        </row>
        <row r="982">
          <cell r="D982" t="str">
            <v>TolimaHonda</v>
          </cell>
          <cell r="E982" t="str">
            <v>Moderado</v>
          </cell>
          <cell r="F982">
            <v>73349</v>
          </cell>
        </row>
        <row r="983">
          <cell r="D983" t="str">
            <v>TolimaIcononzo</v>
          </cell>
          <cell r="E983" t="str">
            <v>Bajo</v>
          </cell>
          <cell r="F983">
            <v>73352</v>
          </cell>
        </row>
        <row r="984">
          <cell r="D984" t="str">
            <v>TolimaLérida</v>
          </cell>
          <cell r="E984" t="str">
            <v>Incipiente</v>
          </cell>
          <cell r="F984">
            <v>73408</v>
          </cell>
        </row>
        <row r="985">
          <cell r="D985" t="str">
            <v>TolimaLíbano</v>
          </cell>
          <cell r="E985" t="str">
            <v>Incipiente</v>
          </cell>
          <cell r="F985">
            <v>73411</v>
          </cell>
        </row>
        <row r="986">
          <cell r="D986" t="str">
            <v>TolimaMariquita</v>
          </cell>
          <cell r="E986" t="str">
            <v>Incipiente</v>
          </cell>
          <cell r="F986">
            <v>73443</v>
          </cell>
        </row>
        <row r="987">
          <cell r="D987" t="str">
            <v>TolimaMelgar</v>
          </cell>
          <cell r="E987" t="str">
            <v>Moderado</v>
          </cell>
          <cell r="F987">
            <v>73449</v>
          </cell>
        </row>
        <row r="988">
          <cell r="D988" t="str">
            <v>TolimaMurillo</v>
          </cell>
          <cell r="E988" t="str">
            <v>Bajo</v>
          </cell>
          <cell r="F988">
            <v>73461</v>
          </cell>
        </row>
        <row r="989">
          <cell r="D989" t="str">
            <v>TolimaNatagaima</v>
          </cell>
          <cell r="E989" t="str">
            <v>Incipiente</v>
          </cell>
          <cell r="F989">
            <v>73483</v>
          </cell>
        </row>
        <row r="990">
          <cell r="D990" t="str">
            <v>TolimaOrtega</v>
          </cell>
          <cell r="E990" t="str">
            <v>Bajo</v>
          </cell>
          <cell r="F990">
            <v>73504</v>
          </cell>
        </row>
        <row r="991">
          <cell r="D991" t="str">
            <v>TolimaPalocabildo</v>
          </cell>
          <cell r="E991" t="str">
            <v>Bajo</v>
          </cell>
          <cell r="F991">
            <v>73520</v>
          </cell>
        </row>
        <row r="992">
          <cell r="D992" t="str">
            <v>TolimaPiedras</v>
          </cell>
          <cell r="E992" t="str">
            <v>Bajo</v>
          </cell>
          <cell r="F992">
            <v>73547</v>
          </cell>
        </row>
        <row r="993">
          <cell r="D993" t="str">
            <v>TolimaPlanadas</v>
          </cell>
          <cell r="E993" t="str">
            <v>Bajo</v>
          </cell>
          <cell r="F993">
            <v>73555</v>
          </cell>
        </row>
        <row r="994">
          <cell r="D994" t="str">
            <v>TolimaPrado</v>
          </cell>
          <cell r="E994" t="str">
            <v>Bajo</v>
          </cell>
          <cell r="F994">
            <v>73563</v>
          </cell>
        </row>
        <row r="995">
          <cell r="D995" t="str">
            <v>TolimaPurificación</v>
          </cell>
          <cell r="E995" t="str">
            <v>Incipiente</v>
          </cell>
          <cell r="F995">
            <v>73585</v>
          </cell>
        </row>
        <row r="996">
          <cell r="D996" t="str">
            <v>TolimaRioblanco</v>
          </cell>
          <cell r="E996" t="str">
            <v>Limitado</v>
          </cell>
          <cell r="F996">
            <v>73616</v>
          </cell>
        </row>
        <row r="997">
          <cell r="D997" t="str">
            <v>TolimaRoncesvalles</v>
          </cell>
          <cell r="E997" t="str">
            <v>Limitado</v>
          </cell>
          <cell r="F997">
            <v>73622</v>
          </cell>
        </row>
        <row r="998">
          <cell r="D998" t="str">
            <v>TolimaRovira</v>
          </cell>
          <cell r="E998" t="str">
            <v>Bajo</v>
          </cell>
          <cell r="F998">
            <v>73624</v>
          </cell>
        </row>
        <row r="999">
          <cell r="D999" t="str">
            <v>TolimaSaldaña</v>
          </cell>
          <cell r="E999" t="str">
            <v>Incipiente</v>
          </cell>
          <cell r="F999">
            <v>73671</v>
          </cell>
        </row>
        <row r="1000">
          <cell r="D1000" t="str">
            <v>TolimaSan Antonio</v>
          </cell>
          <cell r="E1000" t="str">
            <v>Bajo</v>
          </cell>
          <cell r="F1000">
            <v>73675</v>
          </cell>
        </row>
        <row r="1001">
          <cell r="D1001" t="str">
            <v>TolimaSan Luis</v>
          </cell>
          <cell r="E1001" t="str">
            <v>Bajo</v>
          </cell>
          <cell r="F1001">
            <v>73678</v>
          </cell>
        </row>
        <row r="1002">
          <cell r="D1002" t="str">
            <v>TolimaSanta Isabel</v>
          </cell>
          <cell r="E1002" t="str">
            <v>Bajo</v>
          </cell>
          <cell r="F1002">
            <v>73686</v>
          </cell>
        </row>
        <row r="1003">
          <cell r="D1003" t="str">
            <v>TolimaSuárez</v>
          </cell>
          <cell r="E1003" t="str">
            <v>Bajo</v>
          </cell>
          <cell r="F1003">
            <v>73770</v>
          </cell>
        </row>
        <row r="1004">
          <cell r="D1004" t="str">
            <v>TolimaValle de San Juan</v>
          </cell>
          <cell r="E1004" t="str">
            <v>Bajo</v>
          </cell>
          <cell r="F1004">
            <v>73854</v>
          </cell>
        </row>
        <row r="1005">
          <cell r="D1005" t="str">
            <v>TolimaVenadillo</v>
          </cell>
          <cell r="E1005" t="str">
            <v>Incipiente</v>
          </cell>
          <cell r="F1005">
            <v>73861</v>
          </cell>
        </row>
        <row r="1006">
          <cell r="D1006" t="str">
            <v>TolimaVillahermosa</v>
          </cell>
          <cell r="E1006" t="str">
            <v>Bajo</v>
          </cell>
          <cell r="F1006">
            <v>73870</v>
          </cell>
        </row>
        <row r="1007">
          <cell r="D1007" t="str">
            <v>TolimaVillarrica</v>
          </cell>
          <cell r="E1007" t="str">
            <v>Bajo</v>
          </cell>
          <cell r="F1007">
            <v>73873</v>
          </cell>
        </row>
        <row r="1008">
          <cell r="D1008" t="str">
            <v>Valle del CaucaCali</v>
          </cell>
          <cell r="E1008" t="str">
            <v>Alto</v>
          </cell>
          <cell r="F1008">
            <v>76001</v>
          </cell>
        </row>
        <row r="1009">
          <cell r="D1009" t="str">
            <v>Valle del CaucaAlcalá</v>
          </cell>
          <cell r="E1009" t="str">
            <v>Incipiente</v>
          </cell>
          <cell r="F1009">
            <v>76020</v>
          </cell>
        </row>
        <row r="1010">
          <cell r="D1010" t="str">
            <v>Valle del CaucaAndalucía</v>
          </cell>
          <cell r="E1010" t="str">
            <v>Incipiente</v>
          </cell>
          <cell r="F1010">
            <v>76036</v>
          </cell>
        </row>
        <row r="1011">
          <cell r="D1011" t="str">
            <v>Valle del CaucaAnsermanuevo</v>
          </cell>
          <cell r="E1011" t="str">
            <v>Bajo</v>
          </cell>
          <cell r="F1011">
            <v>76041</v>
          </cell>
        </row>
        <row r="1012">
          <cell r="D1012" t="str">
            <v>Valle del CaucaArgelia</v>
          </cell>
          <cell r="E1012" t="str">
            <v>Bajo</v>
          </cell>
          <cell r="F1012">
            <v>76054</v>
          </cell>
        </row>
        <row r="1013">
          <cell r="D1013" t="str">
            <v>Valle del CaucaBolívar</v>
          </cell>
          <cell r="E1013" t="str">
            <v>Bajo</v>
          </cell>
          <cell r="F1013">
            <v>76100</v>
          </cell>
        </row>
        <row r="1014">
          <cell r="D1014" t="str">
            <v>Valle del CaucaBuenaventura</v>
          </cell>
          <cell r="E1014" t="str">
            <v>Incipiente</v>
          </cell>
          <cell r="F1014">
            <v>76109</v>
          </cell>
        </row>
        <row r="1015">
          <cell r="D1015" t="str">
            <v>Valle del CaucaBuga</v>
          </cell>
          <cell r="E1015" t="str">
            <v>Moderado</v>
          </cell>
          <cell r="F1015">
            <v>76111</v>
          </cell>
        </row>
        <row r="1016">
          <cell r="D1016" t="str">
            <v>Valle del CaucaBugalagrande</v>
          </cell>
          <cell r="E1016" t="str">
            <v>Incipiente</v>
          </cell>
          <cell r="F1016">
            <v>76113</v>
          </cell>
        </row>
        <row r="1017">
          <cell r="D1017" t="str">
            <v>Valle del CaucaCaicedonia</v>
          </cell>
          <cell r="E1017" t="str">
            <v>Moderado</v>
          </cell>
          <cell r="F1017">
            <v>76122</v>
          </cell>
        </row>
        <row r="1018">
          <cell r="D1018" t="str">
            <v>Valle del CaucaCalima</v>
          </cell>
          <cell r="E1018" t="str">
            <v>Incipiente</v>
          </cell>
          <cell r="F1018">
            <v>76126</v>
          </cell>
        </row>
        <row r="1019">
          <cell r="D1019" t="str">
            <v>Valle del CaucaCandelaria</v>
          </cell>
          <cell r="E1019" t="str">
            <v>Moderado</v>
          </cell>
          <cell r="F1019">
            <v>76130</v>
          </cell>
        </row>
        <row r="1020">
          <cell r="D1020" t="str">
            <v>Valle del CaucaCartago</v>
          </cell>
          <cell r="E1020" t="str">
            <v>Moderado</v>
          </cell>
          <cell r="F1020">
            <v>76147</v>
          </cell>
        </row>
        <row r="1021">
          <cell r="D1021" t="str">
            <v>Valle del CaucaDagua</v>
          </cell>
          <cell r="E1021" t="str">
            <v>Incipiente</v>
          </cell>
          <cell r="F1021">
            <v>76233</v>
          </cell>
        </row>
        <row r="1022">
          <cell r="D1022" t="str">
            <v>Valle del CaucaEl Águila</v>
          </cell>
          <cell r="E1022" t="str">
            <v>Bajo</v>
          </cell>
          <cell r="F1022">
            <v>76243</v>
          </cell>
        </row>
        <row r="1023">
          <cell r="D1023" t="str">
            <v>Valle del CaucaEl Cairo</v>
          </cell>
          <cell r="E1023" t="str">
            <v>Bajo</v>
          </cell>
          <cell r="F1023">
            <v>76246</v>
          </cell>
        </row>
        <row r="1024">
          <cell r="D1024" t="str">
            <v>Valle del CaucaEl Cerrito</v>
          </cell>
          <cell r="E1024" t="str">
            <v>Moderado</v>
          </cell>
          <cell r="F1024">
            <v>76248</v>
          </cell>
        </row>
        <row r="1025">
          <cell r="D1025" t="str">
            <v>Valle del CaucaEl Dovio</v>
          </cell>
          <cell r="E1025" t="str">
            <v>Bajo</v>
          </cell>
          <cell r="F1025">
            <v>76250</v>
          </cell>
        </row>
        <row r="1026">
          <cell r="D1026" t="str">
            <v>Valle del CaucaFlorida</v>
          </cell>
          <cell r="E1026" t="str">
            <v>Moderado</v>
          </cell>
          <cell r="F1026">
            <v>76275</v>
          </cell>
        </row>
        <row r="1027">
          <cell r="D1027" t="str">
            <v>Valle del CaucaGinebra</v>
          </cell>
          <cell r="E1027" t="str">
            <v>Incipiente</v>
          </cell>
          <cell r="F1027">
            <v>76306</v>
          </cell>
        </row>
        <row r="1028">
          <cell r="D1028" t="str">
            <v>Valle del CaucaGuacarí</v>
          </cell>
          <cell r="E1028" t="str">
            <v>Incipiente</v>
          </cell>
          <cell r="F1028">
            <v>76318</v>
          </cell>
        </row>
        <row r="1029">
          <cell r="D1029" t="str">
            <v>Valle del CaucaJamundi</v>
          </cell>
          <cell r="E1029" t="str">
            <v>Moderado</v>
          </cell>
          <cell r="F1029">
            <v>76364</v>
          </cell>
        </row>
        <row r="1030">
          <cell r="D1030" t="str">
            <v>Valle del CaucaLa Cumbre</v>
          </cell>
          <cell r="E1030" t="str">
            <v>Incipiente</v>
          </cell>
          <cell r="F1030">
            <v>76377</v>
          </cell>
        </row>
        <row r="1031">
          <cell r="D1031" t="str">
            <v>Valle del CaucaLa Unión</v>
          </cell>
          <cell r="E1031" t="str">
            <v>Incipiente</v>
          </cell>
          <cell r="F1031">
            <v>76400</v>
          </cell>
        </row>
        <row r="1032">
          <cell r="D1032" t="str">
            <v>Valle del CaucaLa Victoria</v>
          </cell>
          <cell r="E1032" t="str">
            <v>Incipiente</v>
          </cell>
          <cell r="F1032">
            <v>76403</v>
          </cell>
        </row>
        <row r="1033">
          <cell r="D1033" t="str">
            <v>Valle del CaucaObando</v>
          </cell>
          <cell r="E1033" t="str">
            <v>Bajo</v>
          </cell>
          <cell r="F1033">
            <v>76497</v>
          </cell>
        </row>
        <row r="1034">
          <cell r="D1034" t="str">
            <v>Valle del CaucaPalmira</v>
          </cell>
          <cell r="E1034" t="str">
            <v>Moderado</v>
          </cell>
          <cell r="F1034">
            <v>76520</v>
          </cell>
        </row>
        <row r="1035">
          <cell r="D1035" t="str">
            <v>Valle del CaucaPradera</v>
          </cell>
          <cell r="E1035" t="str">
            <v>Moderado</v>
          </cell>
          <cell r="F1035">
            <v>76563</v>
          </cell>
        </row>
        <row r="1036">
          <cell r="D1036" t="str">
            <v>Valle del CaucaRestrepo</v>
          </cell>
          <cell r="E1036" t="str">
            <v>Incipiente</v>
          </cell>
          <cell r="F1036">
            <v>76606</v>
          </cell>
        </row>
        <row r="1037">
          <cell r="D1037" t="str">
            <v>Valle del CaucaRiofrío</v>
          </cell>
          <cell r="E1037" t="str">
            <v>Bajo</v>
          </cell>
          <cell r="F1037">
            <v>76616</v>
          </cell>
        </row>
        <row r="1038">
          <cell r="D1038" t="str">
            <v>Valle del CaucaRoldanillo</v>
          </cell>
          <cell r="E1038" t="str">
            <v>Moderado</v>
          </cell>
          <cell r="F1038">
            <v>76622</v>
          </cell>
        </row>
        <row r="1039">
          <cell r="D1039" t="str">
            <v>Valle del CaucaSan Pedro</v>
          </cell>
          <cell r="E1039" t="str">
            <v>Incipiente</v>
          </cell>
          <cell r="F1039">
            <v>76670</v>
          </cell>
        </row>
        <row r="1040">
          <cell r="D1040" t="str">
            <v>Valle del CaucaSevilla</v>
          </cell>
          <cell r="E1040" t="str">
            <v>Incipiente</v>
          </cell>
          <cell r="F1040">
            <v>76736</v>
          </cell>
        </row>
        <row r="1041">
          <cell r="D1041" t="str">
            <v>Valle del CaucaToro</v>
          </cell>
          <cell r="E1041" t="str">
            <v>Incipiente</v>
          </cell>
          <cell r="F1041">
            <v>76823</v>
          </cell>
        </row>
        <row r="1042">
          <cell r="D1042" t="str">
            <v>Valle del CaucaTrujillo</v>
          </cell>
          <cell r="E1042" t="str">
            <v>Incipiente</v>
          </cell>
          <cell r="F1042">
            <v>76828</v>
          </cell>
        </row>
        <row r="1043">
          <cell r="D1043" t="str">
            <v>Valle del CaucaTulua</v>
          </cell>
          <cell r="E1043" t="str">
            <v>Moderado</v>
          </cell>
          <cell r="F1043">
            <v>76834</v>
          </cell>
        </row>
        <row r="1044">
          <cell r="D1044" t="str">
            <v>Valle del CaucaUlloa</v>
          </cell>
          <cell r="E1044" t="str">
            <v>Bajo</v>
          </cell>
          <cell r="F1044">
            <v>76845</v>
          </cell>
        </row>
        <row r="1045">
          <cell r="D1045" t="str">
            <v>Valle del CaucaVersalles</v>
          </cell>
          <cell r="E1045" t="str">
            <v>Bajo</v>
          </cell>
          <cell r="F1045">
            <v>76863</v>
          </cell>
        </row>
        <row r="1046">
          <cell r="D1046" t="str">
            <v>Valle del CaucaVijes</v>
          </cell>
          <cell r="E1046" t="str">
            <v>Incipiente</v>
          </cell>
          <cell r="F1046">
            <v>76869</v>
          </cell>
        </row>
        <row r="1047">
          <cell r="D1047" t="str">
            <v>Valle del CaucaYotoco</v>
          </cell>
          <cell r="E1047" t="str">
            <v>Incipiente</v>
          </cell>
          <cell r="F1047">
            <v>76890</v>
          </cell>
        </row>
        <row r="1048">
          <cell r="D1048" t="str">
            <v>Valle del CaucaYumbo</v>
          </cell>
          <cell r="E1048" t="str">
            <v>Moderado</v>
          </cell>
          <cell r="F1048">
            <v>76892</v>
          </cell>
        </row>
        <row r="1049">
          <cell r="D1049" t="str">
            <v>Valle del CaucaZarzal</v>
          </cell>
          <cell r="E1049" t="str">
            <v>Moderado</v>
          </cell>
          <cell r="F1049">
            <v>76895</v>
          </cell>
        </row>
        <row r="1050">
          <cell r="D1050" t="str">
            <v>AraucaArauca</v>
          </cell>
          <cell r="E1050" t="str">
            <v>Incipiente</v>
          </cell>
          <cell r="F1050">
            <v>81001</v>
          </cell>
        </row>
        <row r="1051">
          <cell r="D1051" t="str">
            <v>AraucaArauquita</v>
          </cell>
          <cell r="E1051" t="str">
            <v>Bajo</v>
          </cell>
          <cell r="F1051">
            <v>81065</v>
          </cell>
        </row>
        <row r="1052">
          <cell r="D1052" t="str">
            <v>AraucaCravo Norte</v>
          </cell>
          <cell r="E1052" t="str">
            <v>Limitado</v>
          </cell>
          <cell r="F1052">
            <v>81220</v>
          </cell>
        </row>
        <row r="1053">
          <cell r="D1053" t="str">
            <v>AraucaFortul</v>
          </cell>
          <cell r="E1053" t="str">
            <v>Bajo</v>
          </cell>
          <cell r="F1053">
            <v>81300</v>
          </cell>
        </row>
        <row r="1054">
          <cell r="D1054" t="str">
            <v>AraucaPuerto Rondón</v>
          </cell>
          <cell r="E1054" t="str">
            <v>Bajo</v>
          </cell>
          <cell r="F1054">
            <v>81591</v>
          </cell>
        </row>
        <row r="1055">
          <cell r="D1055" t="str">
            <v>AraucaSaravena</v>
          </cell>
          <cell r="E1055" t="str">
            <v>Bajo</v>
          </cell>
          <cell r="F1055">
            <v>81736</v>
          </cell>
        </row>
        <row r="1056">
          <cell r="D1056" t="str">
            <v>AraucaTame</v>
          </cell>
          <cell r="E1056" t="str">
            <v>Incipiente</v>
          </cell>
          <cell r="F1056">
            <v>81794</v>
          </cell>
        </row>
        <row r="1057">
          <cell r="D1057" t="str">
            <v>CasanareYopal</v>
          </cell>
          <cell r="E1057" t="str">
            <v>Moderado</v>
          </cell>
          <cell r="F1057">
            <v>85001</v>
          </cell>
        </row>
        <row r="1058">
          <cell r="D1058" t="str">
            <v>CasanareAguazul</v>
          </cell>
          <cell r="E1058" t="str">
            <v>Incipiente</v>
          </cell>
          <cell r="F1058">
            <v>85010</v>
          </cell>
        </row>
        <row r="1059">
          <cell r="D1059" t="str">
            <v>CasanareChámeza</v>
          </cell>
          <cell r="E1059" t="str">
            <v>Limitado</v>
          </cell>
          <cell r="F1059">
            <v>85015</v>
          </cell>
        </row>
        <row r="1060">
          <cell r="D1060" t="str">
            <v>CasanareHato Corozal</v>
          </cell>
          <cell r="E1060" t="str">
            <v>Bajo</v>
          </cell>
          <cell r="F1060">
            <v>85125</v>
          </cell>
        </row>
        <row r="1061">
          <cell r="D1061" t="str">
            <v>CasanareLa Salina</v>
          </cell>
          <cell r="E1061" t="str">
            <v>Limitado</v>
          </cell>
          <cell r="F1061">
            <v>85136</v>
          </cell>
        </row>
        <row r="1062">
          <cell r="D1062" t="str">
            <v>CasanareManí</v>
          </cell>
          <cell r="E1062" t="str">
            <v>Bajo</v>
          </cell>
          <cell r="F1062">
            <v>85139</v>
          </cell>
        </row>
        <row r="1063">
          <cell r="D1063" t="str">
            <v>CasanareMonterrey</v>
          </cell>
          <cell r="E1063" t="str">
            <v>Incipiente</v>
          </cell>
          <cell r="F1063">
            <v>85162</v>
          </cell>
        </row>
        <row r="1064">
          <cell r="D1064" t="str">
            <v>CasanareNunchía</v>
          </cell>
          <cell r="E1064" t="str">
            <v>Bajo</v>
          </cell>
          <cell r="F1064">
            <v>85225</v>
          </cell>
        </row>
        <row r="1065">
          <cell r="D1065" t="str">
            <v>CasanareOrocué</v>
          </cell>
          <cell r="E1065" t="str">
            <v>Bajo</v>
          </cell>
          <cell r="F1065">
            <v>85230</v>
          </cell>
        </row>
        <row r="1066">
          <cell r="D1066" t="str">
            <v>CasanarePaz de Ariporo</v>
          </cell>
          <cell r="E1066" t="str">
            <v>Incipiente</v>
          </cell>
          <cell r="F1066">
            <v>85250</v>
          </cell>
        </row>
        <row r="1067">
          <cell r="D1067" t="str">
            <v>CasanarePore</v>
          </cell>
          <cell r="E1067" t="str">
            <v>Bajo</v>
          </cell>
          <cell r="F1067">
            <v>85263</v>
          </cell>
        </row>
        <row r="1068">
          <cell r="D1068" t="str">
            <v>CasanareRecetor</v>
          </cell>
          <cell r="E1068" t="str">
            <v>Limitado</v>
          </cell>
          <cell r="F1068">
            <v>85279</v>
          </cell>
        </row>
        <row r="1069">
          <cell r="D1069" t="str">
            <v>CasanareSabanalarga</v>
          </cell>
          <cell r="E1069" t="str">
            <v>Limitado</v>
          </cell>
          <cell r="F1069">
            <v>85300</v>
          </cell>
        </row>
        <row r="1070">
          <cell r="D1070" t="str">
            <v>CasanareSácama</v>
          </cell>
          <cell r="E1070" t="str">
            <v>Limitado</v>
          </cell>
          <cell r="F1070">
            <v>85315</v>
          </cell>
        </row>
        <row r="1071">
          <cell r="D1071" t="str">
            <v>CasanareSan Luis de Palenque</v>
          </cell>
          <cell r="E1071" t="str">
            <v>Bajo</v>
          </cell>
          <cell r="F1071">
            <v>85325</v>
          </cell>
        </row>
        <row r="1072">
          <cell r="D1072" t="str">
            <v>CasanareTámara</v>
          </cell>
          <cell r="E1072" t="str">
            <v>Bajo</v>
          </cell>
          <cell r="F1072">
            <v>85400</v>
          </cell>
        </row>
        <row r="1073">
          <cell r="D1073" t="str">
            <v>CasanareTauramena</v>
          </cell>
          <cell r="E1073" t="str">
            <v>Incipiente</v>
          </cell>
          <cell r="F1073">
            <v>85410</v>
          </cell>
        </row>
        <row r="1074">
          <cell r="D1074" t="str">
            <v>CasanareTrinidad</v>
          </cell>
          <cell r="E1074" t="str">
            <v>Bajo</v>
          </cell>
          <cell r="F1074">
            <v>85430</v>
          </cell>
        </row>
        <row r="1075">
          <cell r="D1075" t="str">
            <v>CasanareVillanueva</v>
          </cell>
          <cell r="E1075" t="str">
            <v>Incipiente</v>
          </cell>
          <cell r="F1075">
            <v>85440</v>
          </cell>
        </row>
        <row r="1076">
          <cell r="D1076" t="str">
            <v>PutumayoMocoa</v>
          </cell>
          <cell r="E1076" t="str">
            <v>Incipiente</v>
          </cell>
          <cell r="F1076">
            <v>86001</v>
          </cell>
        </row>
        <row r="1077">
          <cell r="D1077" t="str">
            <v>PutumayoColón</v>
          </cell>
          <cell r="E1077" t="str">
            <v>Bajo</v>
          </cell>
          <cell r="F1077">
            <v>86219</v>
          </cell>
        </row>
        <row r="1078">
          <cell r="D1078" t="str">
            <v>PutumayoOrito</v>
          </cell>
          <cell r="E1078" t="str">
            <v>Incipiente</v>
          </cell>
          <cell r="F1078">
            <v>86320</v>
          </cell>
        </row>
        <row r="1079">
          <cell r="D1079" t="str">
            <v>PutumayoPuerto Asís</v>
          </cell>
          <cell r="E1079" t="str">
            <v>Incipiente</v>
          </cell>
          <cell r="F1079">
            <v>86568</v>
          </cell>
        </row>
        <row r="1080">
          <cell r="D1080" t="str">
            <v>PutumayoPuerto Caicedo</v>
          </cell>
          <cell r="E1080" t="str">
            <v>Bajo</v>
          </cell>
          <cell r="F1080">
            <v>86569</v>
          </cell>
        </row>
        <row r="1081">
          <cell r="D1081" t="str">
            <v>PutumayoPuerto Guzmán</v>
          </cell>
          <cell r="E1081" t="str">
            <v>Limitado</v>
          </cell>
          <cell r="F1081">
            <v>86571</v>
          </cell>
        </row>
        <row r="1082">
          <cell r="D1082" t="str">
            <v>PutumayoPuerto Leguízamo</v>
          </cell>
          <cell r="E1082" t="str">
            <v>Limitado</v>
          </cell>
          <cell r="F1082">
            <v>86573</v>
          </cell>
        </row>
        <row r="1083">
          <cell r="D1083" t="str">
            <v>PutumayoSibundoy</v>
          </cell>
          <cell r="E1083" t="str">
            <v>Incipiente</v>
          </cell>
          <cell r="F1083">
            <v>86749</v>
          </cell>
        </row>
        <row r="1084">
          <cell r="D1084" t="str">
            <v>PutumayoSan Francisco</v>
          </cell>
          <cell r="E1084" t="str">
            <v>Bajo</v>
          </cell>
          <cell r="F1084">
            <v>86755</v>
          </cell>
        </row>
        <row r="1085">
          <cell r="D1085" t="str">
            <v>PutumayoSan Miguel</v>
          </cell>
          <cell r="E1085" t="str">
            <v>Limitado</v>
          </cell>
          <cell r="F1085">
            <v>86757</v>
          </cell>
        </row>
        <row r="1086">
          <cell r="D1086" t="str">
            <v>PutumayoSantiago</v>
          </cell>
          <cell r="E1086" t="str">
            <v>Bajo</v>
          </cell>
          <cell r="F1086">
            <v>86760</v>
          </cell>
        </row>
        <row r="1087">
          <cell r="D1087" t="str">
            <v>PutumayoValle del Guamuez</v>
          </cell>
          <cell r="E1087" t="str">
            <v>Bajo</v>
          </cell>
          <cell r="F1087">
            <v>86865</v>
          </cell>
        </row>
        <row r="1088">
          <cell r="D1088" t="str">
            <v>PutumayoVillagarzón</v>
          </cell>
          <cell r="E1088" t="str">
            <v>Bajo</v>
          </cell>
          <cell r="F1088">
            <v>86885</v>
          </cell>
        </row>
        <row r="1089">
          <cell r="D1089" t="str">
            <v>Archipiélago de San AndrésSan Andrés</v>
          </cell>
          <cell r="E1089" t="str">
            <v>Limitado</v>
          </cell>
          <cell r="F1089">
            <v>88001</v>
          </cell>
        </row>
        <row r="1090">
          <cell r="D1090" t="str">
            <v>Archipiélago de San AndrésProvidencia</v>
          </cell>
          <cell r="E1090" t="str">
            <v>Limitado</v>
          </cell>
          <cell r="F1090">
            <v>88564</v>
          </cell>
        </row>
        <row r="1091">
          <cell r="D1091" t="str">
            <v>AmazonasLeticia</v>
          </cell>
          <cell r="E1091" t="str">
            <v>Bajo</v>
          </cell>
          <cell r="F1091">
            <v>91001</v>
          </cell>
        </row>
        <row r="1092">
          <cell r="D1092" t="str">
            <v>AmazonasEl Encanto (CD)</v>
          </cell>
          <cell r="E1092" t="str">
            <v>Limitado</v>
          </cell>
          <cell r="F1092">
            <v>91263</v>
          </cell>
        </row>
        <row r="1093">
          <cell r="D1093" t="str">
            <v>AmazonasLa Chorrera (CD)</v>
          </cell>
          <cell r="E1093" t="str">
            <v>Limitado</v>
          </cell>
          <cell r="F1093">
            <v>91405</v>
          </cell>
        </row>
        <row r="1094">
          <cell r="D1094" t="str">
            <v>AmazonasLa Pedrera (CD)</v>
          </cell>
          <cell r="E1094" t="str">
            <v>Limitado</v>
          </cell>
          <cell r="F1094">
            <v>91407</v>
          </cell>
        </row>
        <row r="1095">
          <cell r="D1095" t="str">
            <v>AmazonasLa Victoria (CD)</v>
          </cell>
          <cell r="E1095" t="str">
            <v>Limitado</v>
          </cell>
          <cell r="F1095">
            <v>91430</v>
          </cell>
        </row>
        <row r="1096">
          <cell r="D1096" t="str">
            <v>AmazonasMiriti - Paraná (CD)</v>
          </cell>
          <cell r="E1096" t="str">
            <v>Limitado</v>
          </cell>
          <cell r="F1096">
            <v>91460</v>
          </cell>
        </row>
        <row r="1097">
          <cell r="D1097" t="str">
            <v>AmazonasPuerto Alegría (CD)</v>
          </cell>
          <cell r="E1097" t="str">
            <v>Limitado</v>
          </cell>
          <cell r="F1097">
            <v>91530</v>
          </cell>
        </row>
        <row r="1098">
          <cell r="D1098" t="str">
            <v>AmazonasPuerto Arica (CD)</v>
          </cell>
          <cell r="E1098" t="str">
            <v>Limitado</v>
          </cell>
          <cell r="F1098">
            <v>91536</v>
          </cell>
        </row>
        <row r="1099">
          <cell r="D1099" t="str">
            <v>AmazonasPuerto Nariño</v>
          </cell>
          <cell r="E1099" t="str">
            <v>Limitado</v>
          </cell>
          <cell r="F1099">
            <v>91540</v>
          </cell>
        </row>
        <row r="1100">
          <cell r="D1100" t="str">
            <v>AmazonasPuerto Santander (CD)</v>
          </cell>
          <cell r="E1100" t="str">
            <v>Limitado</v>
          </cell>
          <cell r="F1100">
            <v>91669</v>
          </cell>
        </row>
        <row r="1101">
          <cell r="D1101" t="str">
            <v>AmazonasTarapacá (CD)</v>
          </cell>
          <cell r="E1101" t="str">
            <v>Limitado</v>
          </cell>
          <cell r="F1101">
            <v>91798</v>
          </cell>
        </row>
        <row r="1102">
          <cell r="D1102" t="str">
            <v>GuainíaInírida</v>
          </cell>
          <cell r="E1102" t="str">
            <v>Limitado</v>
          </cell>
          <cell r="F1102">
            <v>94001</v>
          </cell>
        </row>
        <row r="1103">
          <cell r="D1103" t="str">
            <v>GuainíaBarrancominas</v>
          </cell>
          <cell r="E1103" t="str">
            <v>Limitado</v>
          </cell>
          <cell r="F1103">
            <v>94343</v>
          </cell>
        </row>
        <row r="1104">
          <cell r="D1104" t="str">
            <v>GuainíaSan Felipe (CD)</v>
          </cell>
          <cell r="E1104" t="str">
            <v>Limitado</v>
          </cell>
          <cell r="F1104">
            <v>94883</v>
          </cell>
        </row>
        <row r="1105">
          <cell r="D1105" t="str">
            <v>GuainíaPuerto Colombia (CD)</v>
          </cell>
          <cell r="E1105" t="str">
            <v>Limitado</v>
          </cell>
          <cell r="F1105">
            <v>94884</v>
          </cell>
        </row>
        <row r="1106">
          <cell r="D1106" t="str">
            <v>GuainíaLa Guadalupe (CD)</v>
          </cell>
          <cell r="E1106" t="str">
            <v>Limitado</v>
          </cell>
          <cell r="F1106">
            <v>94885</v>
          </cell>
        </row>
        <row r="1107">
          <cell r="D1107" t="str">
            <v>GuainíaCacahual (CD)</v>
          </cell>
          <cell r="E1107" t="str">
            <v>Limitado</v>
          </cell>
          <cell r="F1107">
            <v>94886</v>
          </cell>
        </row>
        <row r="1108">
          <cell r="D1108" t="str">
            <v>GuainíaPana Pana (CD)</v>
          </cell>
          <cell r="E1108" t="str">
            <v>Limitado</v>
          </cell>
          <cell r="F1108">
            <v>94887</v>
          </cell>
        </row>
        <row r="1109">
          <cell r="D1109" t="str">
            <v>GuainíaMorichal (CD)</v>
          </cell>
          <cell r="E1109" t="str">
            <v>Limitado</v>
          </cell>
          <cell r="F1109">
            <v>94888</v>
          </cell>
        </row>
        <row r="1110">
          <cell r="D1110" t="str">
            <v>GuaviareSan José del Guaviare</v>
          </cell>
          <cell r="E1110" t="str">
            <v>Bajo</v>
          </cell>
          <cell r="F1110">
            <v>95001</v>
          </cell>
        </row>
        <row r="1111">
          <cell r="D1111" t="str">
            <v>GuaviareCalamar</v>
          </cell>
          <cell r="E1111" t="str">
            <v>Limitado</v>
          </cell>
          <cell r="F1111">
            <v>95015</v>
          </cell>
        </row>
        <row r="1112">
          <cell r="D1112" t="str">
            <v>GuaviareEl Retorno</v>
          </cell>
          <cell r="E1112" t="str">
            <v>Limitado</v>
          </cell>
          <cell r="F1112">
            <v>95025</v>
          </cell>
        </row>
        <row r="1113">
          <cell r="D1113" t="str">
            <v>GuaviareMiraflores</v>
          </cell>
          <cell r="E1113" t="str">
            <v>Limitado</v>
          </cell>
          <cell r="F1113">
            <v>95200</v>
          </cell>
        </row>
        <row r="1114">
          <cell r="D1114" t="str">
            <v>VaupésMitú</v>
          </cell>
          <cell r="E1114" t="str">
            <v>Limitado</v>
          </cell>
          <cell r="F1114">
            <v>97001</v>
          </cell>
        </row>
        <row r="1115">
          <cell r="D1115" t="str">
            <v>VaupésCarurú</v>
          </cell>
          <cell r="E1115" t="str">
            <v>Limitado</v>
          </cell>
          <cell r="F1115">
            <v>97161</v>
          </cell>
        </row>
        <row r="1116">
          <cell r="D1116" t="str">
            <v>VaupésPacoa (CD)</v>
          </cell>
          <cell r="E1116" t="str">
            <v>Limitado</v>
          </cell>
          <cell r="F1116">
            <v>97511</v>
          </cell>
        </row>
        <row r="1117">
          <cell r="D1117" t="str">
            <v>VaupésTaraira</v>
          </cell>
          <cell r="E1117" t="str">
            <v>Limitado</v>
          </cell>
          <cell r="F1117">
            <v>97666</v>
          </cell>
        </row>
        <row r="1118">
          <cell r="D1118" t="str">
            <v>VaupésPapunahua (CD)</v>
          </cell>
          <cell r="E1118" t="str">
            <v>Limitado</v>
          </cell>
          <cell r="F1118">
            <v>97777</v>
          </cell>
        </row>
        <row r="1119">
          <cell r="D1119" t="str">
            <v>VaupésYavaraté (CD)</v>
          </cell>
          <cell r="E1119" t="str">
            <v>Limitado</v>
          </cell>
          <cell r="F1119">
            <v>97889</v>
          </cell>
        </row>
        <row r="1120">
          <cell r="D1120" t="str">
            <v>VichadaPuerto Carreño</v>
          </cell>
          <cell r="E1120" t="str">
            <v>Bajo</v>
          </cell>
          <cell r="F1120">
            <v>99001</v>
          </cell>
        </row>
        <row r="1121">
          <cell r="D1121" t="str">
            <v>VichadaLa Primavera</v>
          </cell>
          <cell r="E1121" t="str">
            <v>Limitado</v>
          </cell>
          <cell r="F1121">
            <v>99524</v>
          </cell>
        </row>
        <row r="1122">
          <cell r="D1122" t="str">
            <v>VichadaSanta Rosalía</v>
          </cell>
          <cell r="E1122" t="str">
            <v>Limitado</v>
          </cell>
          <cell r="F1122">
            <v>99624</v>
          </cell>
        </row>
        <row r="1123">
          <cell r="D1123" t="str">
            <v>VichadaCumaribo</v>
          </cell>
          <cell r="E1123" t="str">
            <v>Limitado</v>
          </cell>
          <cell r="F1123">
            <v>99773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8E22-BA76-44DA-8E71-4E91508FDDBC}">
  <dimension ref="A1:AC324"/>
  <sheetViews>
    <sheetView tabSelected="1" zoomScale="120" zoomScaleNormal="120" workbookViewId="0">
      <pane ySplit="1" topLeftCell="A281" activePane="bottomLeft" state="frozen"/>
      <selection pane="bottomLeft" activeCell="B297" sqref="B297:B320"/>
    </sheetView>
  </sheetViews>
  <sheetFormatPr baseColWidth="10" defaultColWidth="10.83203125" defaultRowHeight="15" x14ac:dyDescent="0.2"/>
  <cols>
    <col min="1" max="1" width="7.6640625" style="1" bestFit="1" customWidth="1"/>
    <col min="2" max="2" width="17.33203125" style="1" bestFit="1" customWidth="1"/>
    <col min="3" max="3" width="3.6640625" style="28" bestFit="1" customWidth="1"/>
    <col min="4" max="4" width="21.6640625" style="1" bestFit="1" customWidth="1"/>
    <col min="5" max="5" width="12.5" style="1" bestFit="1" customWidth="1"/>
    <col min="6" max="6" width="26.1640625" style="1" bestFit="1" customWidth="1"/>
    <col min="7" max="7" width="10.33203125" style="1" bestFit="1" customWidth="1"/>
    <col min="8" max="8" width="14.33203125" style="1" bestFit="1" customWidth="1"/>
    <col min="9" max="9" width="11.6640625" style="1" bestFit="1" customWidth="1"/>
    <col min="10" max="10" width="10.1640625" style="1" bestFit="1" customWidth="1"/>
    <col min="11" max="12" width="12.6640625" style="1" bestFit="1" customWidth="1"/>
    <col min="13" max="13" width="12.33203125" style="1" bestFit="1" customWidth="1"/>
    <col min="14" max="14" width="5.1640625" style="1" bestFit="1" customWidth="1"/>
    <col min="15" max="16" width="4.1640625" style="1" bestFit="1" customWidth="1"/>
    <col min="17" max="18" width="5.1640625" style="1" bestFit="1" customWidth="1"/>
    <col min="19" max="19" width="3.1640625" style="1" bestFit="1" customWidth="1"/>
    <col min="20" max="20" width="4.1640625" style="1" bestFit="1" customWidth="1"/>
    <col min="21" max="26" width="3.1640625" style="1" bestFit="1" customWidth="1"/>
    <col min="27" max="27" width="5.33203125" style="1" bestFit="1" customWidth="1"/>
    <col min="28" max="28" width="8.1640625" style="1" bestFit="1" customWidth="1"/>
    <col min="29" max="29" width="12" style="1" bestFit="1" customWidth="1"/>
    <col min="30" max="16384" width="10.83203125" style="1"/>
  </cols>
  <sheetData>
    <row r="1" spans="1:29" x14ac:dyDescent="0.2">
      <c r="A1" s="10" t="s">
        <v>10</v>
      </c>
      <c r="B1" s="10" t="s">
        <v>11</v>
      </c>
      <c r="C1" s="10" t="s">
        <v>358</v>
      </c>
      <c r="D1" s="10" t="s">
        <v>4</v>
      </c>
      <c r="E1" s="10" t="s">
        <v>12</v>
      </c>
      <c r="F1" s="12" t="str">
        <f t="shared" ref="F1" si="0">CONCATENATE(E1,D1)</f>
        <v>DepartamentoMunicipio</v>
      </c>
      <c r="G1" s="10" t="s">
        <v>13</v>
      </c>
      <c r="H1" s="10" t="s">
        <v>14</v>
      </c>
      <c r="I1" s="10" t="s">
        <v>3</v>
      </c>
      <c r="J1" s="9" t="s">
        <v>2</v>
      </c>
      <c r="K1" s="10" t="s">
        <v>1</v>
      </c>
      <c r="L1" s="10" t="s">
        <v>0</v>
      </c>
      <c r="M1" s="10" t="s">
        <v>15</v>
      </c>
      <c r="N1" s="6">
        <v>8</v>
      </c>
      <c r="O1" s="6">
        <v>9</v>
      </c>
      <c r="P1" s="6">
        <v>10</v>
      </c>
      <c r="Q1" s="6">
        <v>11</v>
      </c>
      <c r="R1" s="6">
        <v>12</v>
      </c>
      <c r="S1" s="6">
        <v>13</v>
      </c>
      <c r="T1" s="6">
        <v>14</v>
      </c>
      <c r="U1" s="6">
        <v>15</v>
      </c>
      <c r="V1" s="6">
        <v>16</v>
      </c>
      <c r="W1" s="6">
        <v>17</v>
      </c>
      <c r="X1" s="6">
        <v>18</v>
      </c>
      <c r="Y1" s="6">
        <v>20</v>
      </c>
      <c r="Z1" s="6">
        <v>21</v>
      </c>
      <c r="AA1" s="6" t="s">
        <v>16</v>
      </c>
      <c r="AB1" s="6" t="s">
        <v>17</v>
      </c>
      <c r="AC1" s="6" t="s">
        <v>18</v>
      </c>
    </row>
    <row r="2" spans="1:29" x14ac:dyDescent="0.2">
      <c r="A2" s="2" t="s">
        <v>359</v>
      </c>
      <c r="B2" s="2" t="s">
        <v>19</v>
      </c>
      <c r="C2" s="27">
        <v>1</v>
      </c>
      <c r="D2" s="2" t="s">
        <v>20</v>
      </c>
      <c r="E2" s="2" t="str">
        <f>VLOOKUP(D2,[1]Comunas!$A:$E,5,0)</f>
        <v>Cauca</v>
      </c>
      <c r="F2" s="7" t="str">
        <f t="shared" ref="F2:F65" si="1">CONCATENATE(E2,D2)</f>
        <v>CaucaPOPAYAN</v>
      </c>
      <c r="G2" s="2" t="str">
        <f>VLOOKUP(F2,'[2]CLUSTER_MUNICIPIOS tarifas'!$D:$E,2,0)</f>
        <v>Moderado</v>
      </c>
      <c r="H2" s="2">
        <f>VLOOKUP(F2,'[3]CLUSTER_MUNICIPIOS tarifas'!$D:$F,3,0)</f>
        <v>19001</v>
      </c>
      <c r="I2" s="2" t="s">
        <v>21</v>
      </c>
      <c r="J2" s="18">
        <v>45323</v>
      </c>
      <c r="K2" s="8" t="s">
        <v>22</v>
      </c>
      <c r="L2" s="8" t="s">
        <v>23</v>
      </c>
      <c r="M2" s="5"/>
      <c r="N2" s="2">
        <v>87</v>
      </c>
      <c r="O2" s="2">
        <v>12</v>
      </c>
      <c r="P2" s="2">
        <v>12</v>
      </c>
      <c r="Q2" s="2">
        <v>78</v>
      </c>
      <c r="R2" s="2">
        <v>95</v>
      </c>
      <c r="S2" s="2"/>
      <c r="T2" s="2">
        <v>2</v>
      </c>
      <c r="U2" s="2">
        <v>2</v>
      </c>
      <c r="V2" s="2"/>
      <c r="W2" s="2"/>
      <c r="X2" s="2"/>
      <c r="Y2" s="2"/>
      <c r="Z2" s="2"/>
      <c r="AA2" s="2"/>
      <c r="AB2" s="2"/>
      <c r="AC2" s="2">
        <f>SUM(N2:Z2)</f>
        <v>288</v>
      </c>
    </row>
    <row r="3" spans="1:29" x14ac:dyDescent="0.2">
      <c r="A3" s="2" t="s">
        <v>359</v>
      </c>
      <c r="B3" s="2" t="s">
        <v>19</v>
      </c>
      <c r="C3" s="27">
        <v>1</v>
      </c>
      <c r="D3" s="2" t="s">
        <v>20</v>
      </c>
      <c r="E3" s="2" t="str">
        <f>VLOOKUP(D3,[1]Comunas!$A:$E,5,0)</f>
        <v>Cauca</v>
      </c>
      <c r="F3" s="7" t="str">
        <f t="shared" si="1"/>
        <v>CaucaPOPAYAN</v>
      </c>
      <c r="G3" s="2" t="str">
        <f>VLOOKUP(F3,'[2]CLUSTER_MUNICIPIOS tarifas'!$D:$E,2,0)</f>
        <v>Moderado</v>
      </c>
      <c r="H3" s="2">
        <f>VLOOKUP(F3,'[3]CLUSTER_MUNICIPIOS tarifas'!$D:$F,3,0)</f>
        <v>19001</v>
      </c>
      <c r="I3" s="2" t="s">
        <v>24</v>
      </c>
      <c r="J3" s="18">
        <v>45323</v>
      </c>
      <c r="K3" s="8" t="s">
        <v>22</v>
      </c>
      <c r="L3" s="8" t="s">
        <v>23</v>
      </c>
      <c r="M3" s="5"/>
      <c r="N3" s="2">
        <v>21</v>
      </c>
      <c r="O3" s="2">
        <v>9</v>
      </c>
      <c r="P3" s="2">
        <v>2</v>
      </c>
      <c r="Q3" s="2">
        <v>12</v>
      </c>
      <c r="R3" s="2">
        <v>2</v>
      </c>
      <c r="S3" s="2"/>
      <c r="T3" s="2">
        <v>3</v>
      </c>
      <c r="U3" s="2"/>
      <c r="V3" s="2"/>
      <c r="W3" s="2"/>
      <c r="X3" s="2"/>
      <c r="Y3" s="2"/>
      <c r="Z3" s="2"/>
      <c r="AA3" s="2"/>
      <c r="AB3" s="2"/>
      <c r="AC3" s="2">
        <f t="shared" ref="AC3:AC66" si="2">SUM(N3:Z3)</f>
        <v>49</v>
      </c>
    </row>
    <row r="4" spans="1:29" x14ac:dyDescent="0.2">
      <c r="A4" s="2" t="s">
        <v>359</v>
      </c>
      <c r="B4" s="2" t="s">
        <v>19</v>
      </c>
      <c r="C4" s="27">
        <v>1</v>
      </c>
      <c r="D4" s="2" t="s">
        <v>20</v>
      </c>
      <c r="E4" s="2" t="str">
        <f>VLOOKUP(D4,[1]Comunas!$A:$E,5,0)</f>
        <v>Cauca</v>
      </c>
      <c r="F4" s="7" t="str">
        <f t="shared" si="1"/>
        <v>CaucaPOPAYAN</v>
      </c>
      <c r="G4" s="2" t="str">
        <f>VLOOKUP(F4,'[2]CLUSTER_MUNICIPIOS tarifas'!$D:$E,2,0)</f>
        <v>Moderado</v>
      </c>
      <c r="H4" s="2">
        <f>VLOOKUP(F4,'[3]CLUSTER_MUNICIPIOS tarifas'!$D:$F,3,0)</f>
        <v>19001</v>
      </c>
      <c r="I4" s="2" t="s">
        <v>25</v>
      </c>
      <c r="J4" s="18">
        <v>45323</v>
      </c>
      <c r="K4" s="8" t="s">
        <v>22</v>
      </c>
      <c r="L4" s="8" t="s">
        <v>23</v>
      </c>
      <c r="M4" s="5"/>
      <c r="N4" s="2">
        <v>19</v>
      </c>
      <c r="O4" s="2"/>
      <c r="P4" s="2"/>
      <c r="Q4" s="2">
        <v>4</v>
      </c>
      <c r="R4" s="2">
        <v>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>
        <f t="shared" si="2"/>
        <v>31</v>
      </c>
    </row>
    <row r="5" spans="1:29" x14ac:dyDescent="0.2">
      <c r="A5" s="2" t="s">
        <v>359</v>
      </c>
      <c r="B5" s="2" t="s">
        <v>19</v>
      </c>
      <c r="C5" s="27">
        <v>1</v>
      </c>
      <c r="D5" s="2" t="s">
        <v>20</v>
      </c>
      <c r="E5" s="2" t="str">
        <f>VLOOKUP(D5,[1]Comunas!$A:$E,5,0)</f>
        <v>Cauca</v>
      </c>
      <c r="F5" s="7" t="str">
        <f t="shared" si="1"/>
        <v>CaucaPOPAYAN</v>
      </c>
      <c r="G5" s="2" t="str">
        <f>VLOOKUP(F5,'[2]CLUSTER_MUNICIPIOS tarifas'!$D:$E,2,0)</f>
        <v>Moderado</v>
      </c>
      <c r="H5" s="2">
        <f>VLOOKUP(F5,'[3]CLUSTER_MUNICIPIOS tarifas'!$D:$F,3,0)</f>
        <v>19001</v>
      </c>
      <c r="I5" s="2" t="s">
        <v>26</v>
      </c>
      <c r="J5" s="18">
        <v>45323</v>
      </c>
      <c r="K5" s="8" t="s">
        <v>22</v>
      </c>
      <c r="L5" s="8" t="s">
        <v>23</v>
      </c>
      <c r="M5" s="5"/>
      <c r="N5" s="2">
        <v>35</v>
      </c>
      <c r="O5" s="2"/>
      <c r="P5" s="2"/>
      <c r="Q5" s="2">
        <v>3</v>
      </c>
      <c r="R5" s="2">
        <v>20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>
        <f t="shared" si="2"/>
        <v>58</v>
      </c>
    </row>
    <row r="6" spans="1:29" x14ac:dyDescent="0.2">
      <c r="A6" s="2" t="s">
        <v>359</v>
      </c>
      <c r="B6" s="2" t="s">
        <v>19</v>
      </c>
      <c r="C6" s="27">
        <v>1</v>
      </c>
      <c r="D6" s="2" t="s">
        <v>20</v>
      </c>
      <c r="E6" s="2" t="str">
        <f>VLOOKUP(D6,[1]Comunas!$A:$E,5,0)</f>
        <v>Cauca</v>
      </c>
      <c r="F6" s="7" t="str">
        <f t="shared" si="1"/>
        <v>CaucaPOPAYAN</v>
      </c>
      <c r="G6" s="2" t="str">
        <f>VLOOKUP(F6,'[2]CLUSTER_MUNICIPIOS tarifas'!$D:$E,2,0)</f>
        <v>Moderado</v>
      </c>
      <c r="H6" s="2">
        <f>VLOOKUP(F6,'[3]CLUSTER_MUNICIPIOS tarifas'!$D:$F,3,0)</f>
        <v>19001</v>
      </c>
      <c r="I6" s="2" t="s">
        <v>27</v>
      </c>
      <c r="J6" s="18">
        <v>45323</v>
      </c>
      <c r="K6" s="8" t="s">
        <v>22</v>
      </c>
      <c r="L6" s="8" t="s">
        <v>23</v>
      </c>
      <c r="M6" s="5"/>
      <c r="N6" s="2">
        <v>22</v>
      </c>
      <c r="O6" s="2">
        <v>2</v>
      </c>
      <c r="P6" s="2"/>
      <c r="Q6" s="2">
        <v>4</v>
      </c>
      <c r="R6" s="2">
        <v>5</v>
      </c>
      <c r="S6" s="2"/>
      <c r="T6" s="2">
        <v>1</v>
      </c>
      <c r="U6" s="2"/>
      <c r="V6" s="2"/>
      <c r="W6" s="2"/>
      <c r="X6" s="2"/>
      <c r="Y6" s="2"/>
      <c r="Z6" s="2"/>
      <c r="AA6" s="2"/>
      <c r="AB6" s="2"/>
      <c r="AC6" s="2">
        <f t="shared" si="2"/>
        <v>34</v>
      </c>
    </row>
    <row r="7" spans="1:29" x14ac:dyDescent="0.2">
      <c r="A7" s="2" t="s">
        <v>359</v>
      </c>
      <c r="B7" s="2" t="s">
        <v>19</v>
      </c>
      <c r="C7" s="27">
        <v>1</v>
      </c>
      <c r="D7" s="2" t="s">
        <v>20</v>
      </c>
      <c r="E7" s="2" t="str">
        <f>VLOOKUP(D7,[1]Comunas!$A:$E,5,0)</f>
        <v>Cauca</v>
      </c>
      <c r="F7" s="7" t="str">
        <f t="shared" si="1"/>
        <v>CaucaPOPAYAN</v>
      </c>
      <c r="G7" s="2" t="str">
        <f>VLOOKUP(F7,'[2]CLUSTER_MUNICIPIOS tarifas'!$D:$E,2,0)</f>
        <v>Moderado</v>
      </c>
      <c r="H7" s="2">
        <f>VLOOKUP(F7,'[3]CLUSTER_MUNICIPIOS tarifas'!$D:$F,3,0)</f>
        <v>19001</v>
      </c>
      <c r="I7" s="2" t="s">
        <v>28</v>
      </c>
      <c r="J7" s="18">
        <v>45323</v>
      </c>
      <c r="K7" s="8" t="s">
        <v>22</v>
      </c>
      <c r="L7" s="8" t="s">
        <v>23</v>
      </c>
      <c r="M7" s="5"/>
      <c r="N7" s="2">
        <v>6</v>
      </c>
      <c r="O7" s="2">
        <v>2</v>
      </c>
      <c r="P7" s="2"/>
      <c r="Q7" s="2">
        <v>4</v>
      </c>
      <c r="R7" s="2">
        <v>8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>
        <f t="shared" si="2"/>
        <v>20</v>
      </c>
    </row>
    <row r="8" spans="1:29" x14ac:dyDescent="0.2">
      <c r="A8" s="2" t="s">
        <v>359</v>
      </c>
      <c r="B8" s="2" t="s">
        <v>19</v>
      </c>
      <c r="C8" s="27">
        <v>1</v>
      </c>
      <c r="D8" s="2" t="s">
        <v>20</v>
      </c>
      <c r="E8" s="2" t="str">
        <f>VLOOKUP(D8,[1]Comunas!$A:$E,5,0)</f>
        <v>Cauca</v>
      </c>
      <c r="F8" s="7" t="str">
        <f t="shared" si="1"/>
        <v>CaucaPOPAYAN</v>
      </c>
      <c r="G8" s="2" t="str">
        <f>VLOOKUP(F8,'[2]CLUSTER_MUNICIPIOS tarifas'!$D:$E,2,0)</f>
        <v>Moderado</v>
      </c>
      <c r="H8" s="2">
        <f>VLOOKUP(F8,'[3]CLUSTER_MUNICIPIOS tarifas'!$D:$F,3,0)</f>
        <v>19001</v>
      </c>
      <c r="I8" s="2" t="s">
        <v>29</v>
      </c>
      <c r="J8" s="18">
        <v>45323</v>
      </c>
      <c r="K8" s="8" t="s">
        <v>22</v>
      </c>
      <c r="L8" s="8" t="s">
        <v>23</v>
      </c>
      <c r="M8" s="5"/>
      <c r="N8" s="2">
        <v>8</v>
      </c>
      <c r="O8" s="2">
        <v>8</v>
      </c>
      <c r="P8" s="2"/>
      <c r="Q8" s="2">
        <v>1</v>
      </c>
      <c r="R8" s="2">
        <v>9</v>
      </c>
      <c r="S8" s="2"/>
      <c r="T8" s="2">
        <v>1</v>
      </c>
      <c r="U8" s="2"/>
      <c r="V8" s="2"/>
      <c r="W8" s="2"/>
      <c r="X8" s="2"/>
      <c r="Y8" s="2"/>
      <c r="Z8" s="2"/>
      <c r="AA8" s="2"/>
      <c r="AB8" s="2"/>
      <c r="AC8" s="2">
        <f t="shared" si="2"/>
        <v>27</v>
      </c>
    </row>
    <row r="9" spans="1:29" x14ac:dyDescent="0.2">
      <c r="A9" s="2" t="s">
        <v>359</v>
      </c>
      <c r="B9" s="2" t="s">
        <v>19</v>
      </c>
      <c r="C9" s="27">
        <v>1</v>
      </c>
      <c r="D9" s="2" t="s">
        <v>20</v>
      </c>
      <c r="E9" s="2" t="str">
        <f>VLOOKUP(D9,[1]Comunas!$A:$E,5,0)</f>
        <v>Cauca</v>
      </c>
      <c r="F9" s="7" t="str">
        <f t="shared" si="1"/>
        <v>CaucaPOPAYAN</v>
      </c>
      <c r="G9" s="2" t="str">
        <f>VLOOKUP(F9,'[2]CLUSTER_MUNICIPIOS tarifas'!$D:$E,2,0)</f>
        <v>Moderado</v>
      </c>
      <c r="H9" s="2">
        <f>VLOOKUP(F9,'[3]CLUSTER_MUNICIPIOS tarifas'!$D:$F,3,0)</f>
        <v>19001</v>
      </c>
      <c r="I9" s="2" t="s">
        <v>30</v>
      </c>
      <c r="J9" s="18">
        <v>45323</v>
      </c>
      <c r="K9" s="8" t="s">
        <v>22</v>
      </c>
      <c r="L9" s="8" t="s">
        <v>23</v>
      </c>
      <c r="M9" s="5"/>
      <c r="N9" s="2">
        <v>10</v>
      </c>
      <c r="O9" s="2"/>
      <c r="P9" s="2"/>
      <c r="Q9" s="2"/>
      <c r="R9" s="2">
        <v>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>
        <f t="shared" si="2"/>
        <v>14</v>
      </c>
    </row>
    <row r="10" spans="1:29" x14ac:dyDescent="0.2">
      <c r="A10" s="2" t="s">
        <v>359</v>
      </c>
      <c r="B10" s="2" t="s">
        <v>19</v>
      </c>
      <c r="C10" s="27">
        <v>1</v>
      </c>
      <c r="D10" s="2" t="s">
        <v>20</v>
      </c>
      <c r="E10" s="2" t="str">
        <f>VLOOKUP(D10,[1]Comunas!$A:$E,5,0)</f>
        <v>Cauca</v>
      </c>
      <c r="F10" s="7" t="str">
        <f t="shared" si="1"/>
        <v>CaucaPOPAYAN</v>
      </c>
      <c r="G10" s="2" t="str">
        <f>VLOOKUP(F10,'[2]CLUSTER_MUNICIPIOS tarifas'!$D:$E,2,0)</f>
        <v>Moderado</v>
      </c>
      <c r="H10" s="2">
        <f>VLOOKUP(F10,'[3]CLUSTER_MUNICIPIOS tarifas'!$D:$F,3,0)</f>
        <v>19001</v>
      </c>
      <c r="I10" s="2" t="s">
        <v>31</v>
      </c>
      <c r="J10" s="18">
        <v>45323</v>
      </c>
      <c r="K10" s="8" t="s">
        <v>22</v>
      </c>
      <c r="L10" s="8" t="s">
        <v>23</v>
      </c>
      <c r="M10" s="5"/>
      <c r="N10" s="2">
        <v>9</v>
      </c>
      <c r="O10" s="2">
        <v>11</v>
      </c>
      <c r="P10" s="2"/>
      <c r="Q10" s="2">
        <v>9</v>
      </c>
      <c r="R10" s="2">
        <v>24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f t="shared" si="2"/>
        <v>53</v>
      </c>
    </row>
    <row r="11" spans="1:29" x14ac:dyDescent="0.2">
      <c r="A11" s="2" t="s">
        <v>359</v>
      </c>
      <c r="B11" s="2" t="s">
        <v>19</v>
      </c>
      <c r="C11" s="27">
        <v>1</v>
      </c>
      <c r="D11" s="2" t="s">
        <v>20</v>
      </c>
      <c r="E11" s="2" t="str">
        <f>VLOOKUP(D11,[1]Comunas!$A:$E,5,0)</f>
        <v>Cauca</v>
      </c>
      <c r="F11" s="7" t="str">
        <f t="shared" si="1"/>
        <v>CaucaPOPAYAN</v>
      </c>
      <c r="G11" s="2" t="str">
        <f>VLOOKUP(F11,'[2]CLUSTER_MUNICIPIOS tarifas'!$D:$E,2,0)</f>
        <v>Moderado</v>
      </c>
      <c r="H11" s="2">
        <f>VLOOKUP(F11,'[3]CLUSTER_MUNICIPIOS tarifas'!$D:$F,3,0)</f>
        <v>19001</v>
      </c>
      <c r="I11" s="2" t="s">
        <v>32</v>
      </c>
      <c r="J11" s="18">
        <v>45323</v>
      </c>
      <c r="K11" s="8" t="s">
        <v>22</v>
      </c>
      <c r="L11" s="8" t="s">
        <v>23</v>
      </c>
      <c r="M11" s="5"/>
      <c r="N11" s="2">
        <v>26</v>
      </c>
      <c r="O11" s="2">
        <v>2</v>
      </c>
      <c r="P11" s="2">
        <v>1</v>
      </c>
      <c r="Q11" s="2">
        <v>11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f t="shared" si="2"/>
        <v>40</v>
      </c>
    </row>
    <row r="12" spans="1:29" x14ac:dyDescent="0.2">
      <c r="A12" s="2" t="s">
        <v>359</v>
      </c>
      <c r="B12" s="2" t="s">
        <v>19</v>
      </c>
      <c r="C12" s="27">
        <v>1</v>
      </c>
      <c r="D12" s="2" t="s">
        <v>20</v>
      </c>
      <c r="E12" s="2" t="str">
        <f>VLOOKUP(D12,[1]Comunas!$A:$E,5,0)</f>
        <v>Cauca</v>
      </c>
      <c r="F12" s="7" t="str">
        <f t="shared" si="1"/>
        <v>CaucaPOPAYAN</v>
      </c>
      <c r="G12" s="2" t="str">
        <f>VLOOKUP(F12,'[2]CLUSTER_MUNICIPIOS tarifas'!$D:$E,2,0)</f>
        <v>Moderado</v>
      </c>
      <c r="H12" s="2">
        <f>VLOOKUP(F12,'[3]CLUSTER_MUNICIPIOS tarifas'!$D:$F,3,0)</f>
        <v>19001</v>
      </c>
      <c r="I12" s="2" t="s">
        <v>33</v>
      </c>
      <c r="J12" s="18">
        <v>45323</v>
      </c>
      <c r="K12" s="8" t="s">
        <v>22</v>
      </c>
      <c r="L12" s="8" t="s">
        <v>23</v>
      </c>
      <c r="M12" s="5"/>
      <c r="N12" s="2">
        <v>15</v>
      </c>
      <c r="O12" s="2"/>
      <c r="P12" s="2"/>
      <c r="Q12" s="2">
        <v>6</v>
      </c>
      <c r="R12" s="2">
        <v>15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f t="shared" si="2"/>
        <v>36</v>
      </c>
    </row>
    <row r="13" spans="1:29" x14ac:dyDescent="0.2">
      <c r="A13" s="2" t="s">
        <v>359</v>
      </c>
      <c r="B13" s="2" t="s">
        <v>19</v>
      </c>
      <c r="C13" s="27">
        <v>1</v>
      </c>
      <c r="D13" s="2" t="s">
        <v>20</v>
      </c>
      <c r="E13" s="2" t="str">
        <f>VLOOKUP(D13,[1]Comunas!$A:$E,5,0)</f>
        <v>Cauca</v>
      </c>
      <c r="F13" s="7" t="str">
        <f t="shared" si="1"/>
        <v>CaucaPOPAYAN</v>
      </c>
      <c r="G13" s="2" t="str">
        <f>VLOOKUP(F13,'[2]CLUSTER_MUNICIPIOS tarifas'!$D:$E,2,0)</f>
        <v>Moderado</v>
      </c>
      <c r="H13" s="2">
        <f>VLOOKUP(F13,'[3]CLUSTER_MUNICIPIOS tarifas'!$D:$F,3,0)</f>
        <v>19001</v>
      </c>
      <c r="I13" s="2" t="s">
        <v>34</v>
      </c>
      <c r="J13" s="18">
        <v>45323</v>
      </c>
      <c r="K13" s="8" t="s">
        <v>22</v>
      </c>
      <c r="L13" s="8" t="s">
        <v>23</v>
      </c>
      <c r="M13" s="5"/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f t="shared" si="2"/>
        <v>0</v>
      </c>
    </row>
    <row r="14" spans="1:29" x14ac:dyDescent="0.2">
      <c r="A14" s="2" t="s">
        <v>359</v>
      </c>
      <c r="B14" s="2" t="s">
        <v>19</v>
      </c>
      <c r="C14" s="27">
        <v>1</v>
      </c>
      <c r="D14" s="2" t="s">
        <v>20</v>
      </c>
      <c r="E14" s="2" t="str">
        <f>VLOOKUP(D14,[1]Comunas!$A:$E,5,0)</f>
        <v>Cauca</v>
      </c>
      <c r="F14" s="7" t="str">
        <f t="shared" si="1"/>
        <v>CaucaPOPAYAN</v>
      </c>
      <c r="G14" s="2" t="str">
        <f>VLOOKUP(F14,'[2]CLUSTER_MUNICIPIOS tarifas'!$D:$E,2,0)</f>
        <v>Moderado</v>
      </c>
      <c r="H14" s="2">
        <f>VLOOKUP(F14,'[3]CLUSTER_MUNICIPIOS tarifas'!$D:$F,3,0)</f>
        <v>19001</v>
      </c>
      <c r="I14" s="2" t="s">
        <v>35</v>
      </c>
      <c r="J14" s="18">
        <v>45323</v>
      </c>
      <c r="K14" s="8" t="s">
        <v>22</v>
      </c>
      <c r="L14" s="8" t="s">
        <v>23</v>
      </c>
      <c r="M14" s="5"/>
      <c r="N14" s="2">
        <v>16</v>
      </c>
      <c r="O14" s="2"/>
      <c r="P14" s="2"/>
      <c r="Q14" s="2">
        <v>12</v>
      </c>
      <c r="R14" s="2">
        <v>2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f t="shared" si="2"/>
        <v>30</v>
      </c>
    </row>
    <row r="15" spans="1:29" x14ac:dyDescent="0.2">
      <c r="A15" s="2" t="s">
        <v>359</v>
      </c>
      <c r="B15" s="2" t="s">
        <v>19</v>
      </c>
      <c r="C15" s="27">
        <v>1</v>
      </c>
      <c r="D15" s="2" t="s">
        <v>20</v>
      </c>
      <c r="E15" s="2" t="str">
        <f>VLOOKUP(D15,[1]Comunas!$A:$E,5,0)</f>
        <v>Cauca</v>
      </c>
      <c r="F15" s="7" t="str">
        <f t="shared" si="1"/>
        <v>CaucaPOPAYAN</v>
      </c>
      <c r="G15" s="2" t="str">
        <f>VLOOKUP(F15,'[2]CLUSTER_MUNICIPIOS tarifas'!$D:$E,2,0)</f>
        <v>Moderado</v>
      </c>
      <c r="H15" s="2">
        <f>VLOOKUP(F15,'[3]CLUSTER_MUNICIPIOS tarifas'!$D:$F,3,0)</f>
        <v>19001</v>
      </c>
      <c r="I15" s="2" t="s">
        <v>36</v>
      </c>
      <c r="J15" s="18">
        <v>45323</v>
      </c>
      <c r="K15" s="8" t="s">
        <v>22</v>
      </c>
      <c r="L15" s="8" t="s">
        <v>23</v>
      </c>
      <c r="M15" s="5"/>
      <c r="N15" s="2">
        <v>5</v>
      </c>
      <c r="O15" s="2">
        <v>4</v>
      </c>
      <c r="P15" s="2">
        <v>1</v>
      </c>
      <c r="Q15" s="2"/>
      <c r="R15" s="2">
        <v>2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f t="shared" si="2"/>
        <v>12</v>
      </c>
    </row>
    <row r="16" spans="1:29" x14ac:dyDescent="0.2">
      <c r="A16" s="2" t="s">
        <v>359</v>
      </c>
      <c r="B16" s="2" t="s">
        <v>19</v>
      </c>
      <c r="C16" s="27">
        <v>1</v>
      </c>
      <c r="D16" s="2" t="s">
        <v>20</v>
      </c>
      <c r="E16" s="2" t="str">
        <f>VLOOKUP(D16,[1]Comunas!$A:$E,5,0)</f>
        <v>Cauca</v>
      </c>
      <c r="F16" s="7" t="str">
        <f t="shared" si="1"/>
        <v>CaucaPOPAYAN</v>
      </c>
      <c r="G16" s="2" t="str">
        <f>VLOOKUP(F16,'[2]CLUSTER_MUNICIPIOS tarifas'!$D:$E,2,0)</f>
        <v>Moderado</v>
      </c>
      <c r="H16" s="2">
        <f>VLOOKUP(F16,'[3]CLUSTER_MUNICIPIOS tarifas'!$D:$F,3,0)</f>
        <v>19001</v>
      </c>
      <c r="I16" s="2" t="s">
        <v>37</v>
      </c>
      <c r="J16" s="18">
        <v>45323</v>
      </c>
      <c r="K16" s="8" t="s">
        <v>22</v>
      </c>
      <c r="L16" s="8" t="s">
        <v>23</v>
      </c>
      <c r="M16" s="5"/>
      <c r="N16" s="2">
        <v>2</v>
      </c>
      <c r="O16" s="2"/>
      <c r="P16" s="2"/>
      <c r="Q16" s="2">
        <v>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f t="shared" si="2"/>
        <v>3</v>
      </c>
    </row>
    <row r="17" spans="1:29" x14ac:dyDescent="0.2">
      <c r="A17" s="2" t="s">
        <v>359</v>
      </c>
      <c r="B17" s="2" t="s">
        <v>19</v>
      </c>
      <c r="C17" s="27">
        <v>1</v>
      </c>
      <c r="D17" s="2" t="s">
        <v>20</v>
      </c>
      <c r="E17" s="2" t="str">
        <f>VLOOKUP(D17,[1]Comunas!$A:$E,5,0)</f>
        <v>Cauca</v>
      </c>
      <c r="F17" s="7" t="str">
        <f t="shared" si="1"/>
        <v>CaucaPOPAYAN</v>
      </c>
      <c r="G17" s="2" t="str">
        <f>VLOOKUP(F17,'[2]CLUSTER_MUNICIPIOS tarifas'!$D:$E,2,0)</f>
        <v>Moderado</v>
      </c>
      <c r="H17" s="2">
        <f>VLOOKUP(F17,'[3]CLUSTER_MUNICIPIOS tarifas'!$D:$F,3,0)</f>
        <v>19001</v>
      </c>
      <c r="I17" s="2" t="s">
        <v>38</v>
      </c>
      <c r="J17" s="18">
        <v>45323</v>
      </c>
      <c r="K17" s="8" t="s">
        <v>22</v>
      </c>
      <c r="L17" s="8" t="s">
        <v>23</v>
      </c>
      <c r="M17" s="5"/>
      <c r="N17" s="2">
        <v>2</v>
      </c>
      <c r="O17" s="2"/>
      <c r="P17" s="2"/>
      <c r="Q17" s="2"/>
      <c r="R17" s="2">
        <v>1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f t="shared" si="2"/>
        <v>3</v>
      </c>
    </row>
    <row r="18" spans="1:29" x14ac:dyDescent="0.2">
      <c r="A18" s="2" t="s">
        <v>359</v>
      </c>
      <c r="B18" s="2" t="s">
        <v>19</v>
      </c>
      <c r="C18" s="27">
        <v>1</v>
      </c>
      <c r="D18" s="2" t="s">
        <v>20</v>
      </c>
      <c r="E18" s="2" t="str">
        <f>VLOOKUP(D18,[1]Comunas!$A:$E,5,0)</f>
        <v>Cauca</v>
      </c>
      <c r="F18" s="7" t="str">
        <f t="shared" si="1"/>
        <v>CaucaPOPAYAN</v>
      </c>
      <c r="G18" s="2" t="str">
        <f>VLOOKUP(F18,'[2]CLUSTER_MUNICIPIOS tarifas'!$D:$E,2,0)</f>
        <v>Moderado</v>
      </c>
      <c r="H18" s="2">
        <f>VLOOKUP(F18,'[3]CLUSTER_MUNICIPIOS tarifas'!$D:$F,3,0)</f>
        <v>19001</v>
      </c>
      <c r="I18" s="2" t="s">
        <v>39</v>
      </c>
      <c r="J18" s="18">
        <v>45323</v>
      </c>
      <c r="K18" s="8" t="s">
        <v>22</v>
      </c>
      <c r="L18" s="8" t="s">
        <v>23</v>
      </c>
      <c r="M18" s="5"/>
      <c r="N18" s="2">
        <v>20</v>
      </c>
      <c r="O18" s="2">
        <v>3</v>
      </c>
      <c r="P18" s="2">
        <v>7</v>
      </c>
      <c r="Q18" s="2">
        <v>6</v>
      </c>
      <c r="R18" s="2">
        <v>2</v>
      </c>
      <c r="S18" s="2"/>
      <c r="T18" s="2">
        <v>5</v>
      </c>
      <c r="U18" s="2"/>
      <c r="V18" s="2"/>
      <c r="W18" s="2"/>
      <c r="X18" s="2"/>
      <c r="Y18" s="2"/>
      <c r="Z18" s="2"/>
      <c r="AA18" s="2"/>
      <c r="AB18" s="2"/>
      <c r="AC18" s="2">
        <f t="shared" si="2"/>
        <v>43</v>
      </c>
    </row>
    <row r="19" spans="1:29" x14ac:dyDescent="0.2">
      <c r="A19" s="2" t="s">
        <v>359</v>
      </c>
      <c r="B19" s="2" t="s">
        <v>19</v>
      </c>
      <c r="C19" s="27">
        <v>1</v>
      </c>
      <c r="D19" s="2" t="s">
        <v>20</v>
      </c>
      <c r="E19" s="2" t="str">
        <f>VLOOKUP(D19,[1]Comunas!$A:$E,5,0)</f>
        <v>Cauca</v>
      </c>
      <c r="F19" s="7" t="str">
        <f t="shared" si="1"/>
        <v>CaucaPOPAYAN</v>
      </c>
      <c r="G19" s="2" t="str">
        <f>VLOOKUP(F19,'[2]CLUSTER_MUNICIPIOS tarifas'!$D:$E,2,0)</f>
        <v>Moderado</v>
      </c>
      <c r="H19" s="2">
        <f>VLOOKUP(F19,'[3]CLUSTER_MUNICIPIOS tarifas'!$D:$F,3,0)</f>
        <v>19001</v>
      </c>
      <c r="I19" s="2" t="s">
        <v>40</v>
      </c>
      <c r="J19" s="18">
        <v>45323</v>
      </c>
      <c r="K19" s="8" t="s">
        <v>22</v>
      </c>
      <c r="L19" s="8" t="s">
        <v>23</v>
      </c>
      <c r="M19" s="5"/>
      <c r="N19" s="2">
        <v>15</v>
      </c>
      <c r="O19" s="2"/>
      <c r="P19" s="2">
        <v>1</v>
      </c>
      <c r="Q19" s="2">
        <v>8</v>
      </c>
      <c r="R19" s="2">
        <v>7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f t="shared" si="2"/>
        <v>31</v>
      </c>
    </row>
    <row r="20" spans="1:29" x14ac:dyDescent="0.2">
      <c r="A20" s="2" t="s">
        <v>359</v>
      </c>
      <c r="B20" s="2" t="s">
        <v>19</v>
      </c>
      <c r="C20" s="27">
        <v>1</v>
      </c>
      <c r="D20" s="2" t="s">
        <v>20</v>
      </c>
      <c r="E20" s="2" t="str">
        <f>VLOOKUP(D20,[1]Comunas!$A:$E,5,0)</f>
        <v>Cauca</v>
      </c>
      <c r="F20" s="7" t="str">
        <f t="shared" si="1"/>
        <v>CaucaPOPAYAN</v>
      </c>
      <c r="G20" s="2" t="str">
        <f>VLOOKUP(F20,'[2]CLUSTER_MUNICIPIOS tarifas'!$D:$E,2,0)</f>
        <v>Moderado</v>
      </c>
      <c r="H20" s="2">
        <f>VLOOKUP(F20,'[3]CLUSTER_MUNICIPIOS tarifas'!$D:$F,3,0)</f>
        <v>19001</v>
      </c>
      <c r="I20" s="2" t="s">
        <v>41</v>
      </c>
      <c r="J20" s="18">
        <v>45323</v>
      </c>
      <c r="K20" s="8" t="s">
        <v>22</v>
      </c>
      <c r="L20" s="8" t="s">
        <v>23</v>
      </c>
      <c r="M20" s="5"/>
      <c r="N20" s="2">
        <v>14</v>
      </c>
      <c r="O20" s="2"/>
      <c r="P20" s="2"/>
      <c r="Q20" s="2">
        <v>8</v>
      </c>
      <c r="R20" s="2">
        <v>9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f t="shared" si="2"/>
        <v>31</v>
      </c>
    </row>
    <row r="21" spans="1:29" x14ac:dyDescent="0.2">
      <c r="A21" s="2" t="s">
        <v>359</v>
      </c>
      <c r="B21" s="2" t="s">
        <v>19</v>
      </c>
      <c r="C21" s="27">
        <v>1</v>
      </c>
      <c r="D21" s="2" t="s">
        <v>20</v>
      </c>
      <c r="E21" s="2" t="str">
        <f>VLOOKUP(D21,[1]Comunas!$A:$E,5,0)</f>
        <v>Cauca</v>
      </c>
      <c r="F21" s="7" t="str">
        <f t="shared" si="1"/>
        <v>CaucaPOPAYAN</v>
      </c>
      <c r="G21" s="2" t="str">
        <f>VLOOKUP(F21,'[2]CLUSTER_MUNICIPIOS tarifas'!$D:$E,2,0)</f>
        <v>Moderado</v>
      </c>
      <c r="H21" s="2">
        <f>VLOOKUP(F21,'[3]CLUSTER_MUNICIPIOS tarifas'!$D:$F,3,0)</f>
        <v>19001</v>
      </c>
      <c r="I21" s="2" t="s">
        <v>42</v>
      </c>
      <c r="J21" s="18">
        <v>45323</v>
      </c>
      <c r="K21" s="8" t="s">
        <v>22</v>
      </c>
      <c r="L21" s="8" t="s">
        <v>23</v>
      </c>
      <c r="M21" s="5"/>
      <c r="N21" s="2">
        <v>16</v>
      </c>
      <c r="O21" s="2">
        <v>1</v>
      </c>
      <c r="P21" s="2">
        <v>5</v>
      </c>
      <c r="Q21" s="2">
        <v>9</v>
      </c>
      <c r="R21" s="2">
        <v>6</v>
      </c>
      <c r="S21" s="2"/>
      <c r="T21" s="2"/>
      <c r="U21" s="2">
        <v>2</v>
      </c>
      <c r="V21" s="2"/>
      <c r="W21" s="2"/>
      <c r="X21" s="2"/>
      <c r="Y21" s="2"/>
      <c r="Z21" s="2"/>
      <c r="AA21" s="2"/>
      <c r="AB21" s="2"/>
      <c r="AC21" s="2">
        <f t="shared" si="2"/>
        <v>39</v>
      </c>
    </row>
    <row r="22" spans="1:29" x14ac:dyDescent="0.2">
      <c r="A22" s="2" t="s">
        <v>359</v>
      </c>
      <c r="B22" s="2" t="s">
        <v>19</v>
      </c>
      <c r="C22" s="27">
        <v>1</v>
      </c>
      <c r="D22" s="2" t="s">
        <v>20</v>
      </c>
      <c r="E22" s="2" t="str">
        <f>VLOOKUP(D22,[1]Comunas!$A:$E,5,0)</f>
        <v>Cauca</v>
      </c>
      <c r="F22" s="7" t="str">
        <f t="shared" si="1"/>
        <v>CaucaPOPAYAN</v>
      </c>
      <c r="G22" s="2" t="str">
        <f>VLOOKUP(F22,'[2]CLUSTER_MUNICIPIOS tarifas'!$D:$E,2,0)</f>
        <v>Moderado</v>
      </c>
      <c r="H22" s="2">
        <f>VLOOKUP(F22,'[3]CLUSTER_MUNICIPIOS tarifas'!$D:$F,3,0)</f>
        <v>19001</v>
      </c>
      <c r="I22" s="2" t="s">
        <v>43</v>
      </c>
      <c r="J22" s="18">
        <v>45323</v>
      </c>
      <c r="K22" s="8" t="s">
        <v>22</v>
      </c>
      <c r="L22" s="8" t="s">
        <v>23</v>
      </c>
      <c r="M22" s="5"/>
      <c r="N22" s="2">
        <v>24</v>
      </c>
      <c r="O22" s="2"/>
      <c r="P22" s="2">
        <v>1</v>
      </c>
      <c r="Q22" s="2">
        <v>16</v>
      </c>
      <c r="R22" s="2">
        <v>3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f t="shared" si="2"/>
        <v>44</v>
      </c>
    </row>
    <row r="23" spans="1:29" x14ac:dyDescent="0.2">
      <c r="A23" s="2" t="s">
        <v>359</v>
      </c>
      <c r="B23" s="2" t="s">
        <v>19</v>
      </c>
      <c r="C23" s="27">
        <v>1</v>
      </c>
      <c r="D23" s="2" t="s">
        <v>20</v>
      </c>
      <c r="E23" s="2" t="str">
        <f>VLOOKUP(D23,[1]Comunas!$A:$E,5,0)</f>
        <v>Cauca</v>
      </c>
      <c r="F23" s="7" t="str">
        <f t="shared" si="1"/>
        <v>CaucaPOPAYAN</v>
      </c>
      <c r="G23" s="2" t="str">
        <f>VLOOKUP(F23,'[2]CLUSTER_MUNICIPIOS tarifas'!$D:$E,2,0)</f>
        <v>Moderado</v>
      </c>
      <c r="H23" s="2">
        <f>VLOOKUP(F23,'[3]CLUSTER_MUNICIPIOS tarifas'!$D:$F,3,0)</f>
        <v>19001</v>
      </c>
      <c r="I23" s="2" t="s">
        <v>44</v>
      </c>
      <c r="J23" s="18">
        <v>45323</v>
      </c>
      <c r="K23" s="8" t="s">
        <v>22</v>
      </c>
      <c r="L23" s="8" t="s">
        <v>23</v>
      </c>
      <c r="M23" s="5"/>
      <c r="N23" s="2">
        <v>6</v>
      </c>
      <c r="O23" s="2"/>
      <c r="P23" s="2"/>
      <c r="Q23" s="2">
        <v>8</v>
      </c>
      <c r="R23" s="2">
        <v>18</v>
      </c>
      <c r="S23" s="2"/>
      <c r="T23" s="2">
        <v>1</v>
      </c>
      <c r="U23" s="2"/>
      <c r="V23" s="2"/>
      <c r="W23" s="2"/>
      <c r="X23" s="2"/>
      <c r="Y23" s="2"/>
      <c r="Z23" s="2"/>
      <c r="AA23" s="2"/>
      <c r="AB23" s="2"/>
      <c r="AC23" s="2">
        <f t="shared" si="2"/>
        <v>33</v>
      </c>
    </row>
    <row r="24" spans="1:29" x14ac:dyDescent="0.2">
      <c r="A24" s="2" t="s">
        <v>359</v>
      </c>
      <c r="B24" s="2" t="s">
        <v>19</v>
      </c>
      <c r="C24" s="27">
        <v>1</v>
      </c>
      <c r="D24" s="2" t="s">
        <v>20</v>
      </c>
      <c r="E24" s="2" t="str">
        <f>VLOOKUP(D24,[1]Comunas!$A:$E,5,0)</f>
        <v>Cauca</v>
      </c>
      <c r="F24" s="7" t="str">
        <f t="shared" si="1"/>
        <v>CaucaPOPAYAN</v>
      </c>
      <c r="G24" s="2" t="str">
        <f>VLOOKUP(F24,'[2]CLUSTER_MUNICIPIOS tarifas'!$D:$E,2,0)</f>
        <v>Moderado</v>
      </c>
      <c r="H24" s="2">
        <f>VLOOKUP(F24,'[3]CLUSTER_MUNICIPIOS tarifas'!$D:$F,3,0)</f>
        <v>19001</v>
      </c>
      <c r="I24" s="2" t="s">
        <v>45</v>
      </c>
      <c r="J24" s="18">
        <v>45323</v>
      </c>
      <c r="K24" s="8" t="s">
        <v>22</v>
      </c>
      <c r="L24" s="8" t="s">
        <v>23</v>
      </c>
      <c r="M24" s="5"/>
      <c r="N24" s="2">
        <v>20</v>
      </c>
      <c r="O24" s="2"/>
      <c r="P24" s="2"/>
      <c r="Q24" s="2">
        <v>10</v>
      </c>
      <c r="R24" s="2">
        <v>10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f t="shared" si="2"/>
        <v>40</v>
      </c>
    </row>
    <row r="25" spans="1:29" x14ac:dyDescent="0.2">
      <c r="A25" s="2" t="s">
        <v>359</v>
      </c>
      <c r="B25" s="2" t="s">
        <v>19</v>
      </c>
      <c r="C25" s="27">
        <v>1</v>
      </c>
      <c r="D25" s="2" t="s">
        <v>20</v>
      </c>
      <c r="E25" s="2" t="str">
        <f>VLOOKUP(D25,[1]Comunas!$A:$E,5,0)</f>
        <v>Cauca</v>
      </c>
      <c r="F25" s="7" t="str">
        <f t="shared" si="1"/>
        <v>CaucaPOPAYAN</v>
      </c>
      <c r="G25" s="2" t="str">
        <f>VLOOKUP(F25,'[2]CLUSTER_MUNICIPIOS tarifas'!$D:$E,2,0)</f>
        <v>Moderado</v>
      </c>
      <c r="H25" s="2">
        <f>VLOOKUP(F25,'[3]CLUSTER_MUNICIPIOS tarifas'!$D:$F,3,0)</f>
        <v>19001</v>
      </c>
      <c r="I25" s="2" t="s">
        <v>46</v>
      </c>
      <c r="J25" s="18">
        <v>45323</v>
      </c>
      <c r="K25" s="8" t="s">
        <v>22</v>
      </c>
      <c r="L25" s="8" t="s">
        <v>23</v>
      </c>
      <c r="M25" s="5"/>
      <c r="N25" s="2">
        <v>7</v>
      </c>
      <c r="O25" s="2"/>
      <c r="P25" s="2">
        <v>1</v>
      </c>
      <c r="Q25" s="2">
        <v>1</v>
      </c>
      <c r="R25" s="2">
        <v>4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f t="shared" si="2"/>
        <v>13</v>
      </c>
    </row>
    <row r="26" spans="1:29" x14ac:dyDescent="0.2">
      <c r="A26" s="2" t="s">
        <v>359</v>
      </c>
      <c r="B26" s="2" t="s">
        <v>19</v>
      </c>
      <c r="C26" s="27">
        <v>1</v>
      </c>
      <c r="D26" s="2" t="s">
        <v>20</v>
      </c>
      <c r="E26" s="2" t="str">
        <f>VLOOKUP(D26,[1]Comunas!$A:$E,5,0)</f>
        <v>Cauca</v>
      </c>
      <c r="F26" s="7" t="str">
        <f t="shared" si="1"/>
        <v>CaucaPOPAYAN</v>
      </c>
      <c r="G26" s="2" t="str">
        <f>VLOOKUP(F26,'[2]CLUSTER_MUNICIPIOS tarifas'!$D:$E,2,0)</f>
        <v>Moderado</v>
      </c>
      <c r="H26" s="2">
        <f>VLOOKUP(F26,'[3]CLUSTER_MUNICIPIOS tarifas'!$D:$F,3,0)</f>
        <v>19001</v>
      </c>
      <c r="I26" s="2" t="s">
        <v>47</v>
      </c>
      <c r="J26" s="18">
        <v>45323</v>
      </c>
      <c r="K26" s="8" t="s">
        <v>22</v>
      </c>
      <c r="L26" s="8" t="s">
        <v>23</v>
      </c>
      <c r="M26" s="5"/>
      <c r="N26" s="2">
        <v>14</v>
      </c>
      <c r="O26" s="2">
        <v>3</v>
      </c>
      <c r="P26" s="2"/>
      <c r="Q26" s="2">
        <v>5</v>
      </c>
      <c r="R26" s="2">
        <v>17</v>
      </c>
      <c r="S26" s="2"/>
      <c r="T26" s="2">
        <v>1</v>
      </c>
      <c r="U26" s="2"/>
      <c r="V26" s="2"/>
      <c r="W26" s="2"/>
      <c r="X26" s="2"/>
      <c r="Y26" s="2"/>
      <c r="Z26" s="2"/>
      <c r="AA26" s="2"/>
      <c r="AB26" s="2"/>
      <c r="AC26" s="2">
        <f t="shared" si="2"/>
        <v>40</v>
      </c>
    </row>
    <row r="27" spans="1:29" x14ac:dyDescent="0.2">
      <c r="A27" s="2" t="s">
        <v>359</v>
      </c>
      <c r="B27" s="2" t="s">
        <v>19</v>
      </c>
      <c r="C27" s="27">
        <v>1</v>
      </c>
      <c r="D27" s="2" t="s">
        <v>20</v>
      </c>
      <c r="E27" s="2" t="str">
        <f>VLOOKUP(D27,[1]Comunas!$A:$E,5,0)</f>
        <v>Cauca</v>
      </c>
      <c r="F27" s="7" t="str">
        <f t="shared" si="1"/>
        <v>CaucaPOPAYAN</v>
      </c>
      <c r="G27" s="2" t="str">
        <f>VLOOKUP(F27,'[2]CLUSTER_MUNICIPIOS tarifas'!$D:$E,2,0)</f>
        <v>Moderado</v>
      </c>
      <c r="H27" s="2">
        <f>VLOOKUP(F27,'[3]CLUSTER_MUNICIPIOS tarifas'!$D:$F,3,0)</f>
        <v>19001</v>
      </c>
      <c r="I27" s="2" t="s">
        <v>48</v>
      </c>
      <c r="J27" s="18">
        <v>45323</v>
      </c>
      <c r="K27" s="8" t="s">
        <v>22</v>
      </c>
      <c r="L27" s="8" t="s">
        <v>23</v>
      </c>
      <c r="M27" s="5"/>
      <c r="N27" s="2"/>
      <c r="O27" s="2"/>
      <c r="P27" s="2"/>
      <c r="Q27" s="2">
        <v>1</v>
      </c>
      <c r="R27" s="2">
        <v>4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f t="shared" si="2"/>
        <v>5</v>
      </c>
    </row>
    <row r="28" spans="1:29" x14ac:dyDescent="0.2">
      <c r="A28" s="2" t="s">
        <v>359</v>
      </c>
      <c r="B28" s="2" t="s">
        <v>19</v>
      </c>
      <c r="C28" s="27">
        <v>1</v>
      </c>
      <c r="D28" s="2" t="s">
        <v>20</v>
      </c>
      <c r="E28" s="2" t="str">
        <f>VLOOKUP(D28,[1]Comunas!$A:$E,5,0)</f>
        <v>Cauca</v>
      </c>
      <c r="F28" s="7" t="str">
        <f t="shared" si="1"/>
        <v>CaucaPOPAYAN</v>
      </c>
      <c r="G28" s="2" t="str">
        <f>VLOOKUP(F28,'[2]CLUSTER_MUNICIPIOS tarifas'!$D:$E,2,0)</f>
        <v>Moderado</v>
      </c>
      <c r="H28" s="2">
        <f>VLOOKUP(F28,'[3]CLUSTER_MUNICIPIOS tarifas'!$D:$F,3,0)</f>
        <v>19001</v>
      </c>
      <c r="I28" s="2" t="s">
        <v>49</v>
      </c>
      <c r="J28" s="18">
        <v>45323</v>
      </c>
      <c r="K28" s="8" t="s">
        <v>22</v>
      </c>
      <c r="L28" s="8" t="s">
        <v>23</v>
      </c>
      <c r="M28" s="5"/>
      <c r="N28" s="2"/>
      <c r="O28" s="2"/>
      <c r="P28" s="2"/>
      <c r="Q28" s="2">
        <v>1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f t="shared" si="2"/>
        <v>1</v>
      </c>
    </row>
    <row r="29" spans="1:29" x14ac:dyDescent="0.2">
      <c r="A29" s="2" t="s">
        <v>359</v>
      </c>
      <c r="B29" s="2" t="s">
        <v>19</v>
      </c>
      <c r="C29" s="27">
        <v>1</v>
      </c>
      <c r="D29" s="2" t="s">
        <v>20</v>
      </c>
      <c r="E29" s="2" t="str">
        <f>VLOOKUP(D29,[1]Comunas!$A:$E,5,0)</f>
        <v>Cauca</v>
      </c>
      <c r="F29" s="7" t="str">
        <f t="shared" si="1"/>
        <v>CaucaPOPAYAN</v>
      </c>
      <c r="G29" s="2" t="str">
        <f>VLOOKUP(F29,'[2]CLUSTER_MUNICIPIOS tarifas'!$D:$E,2,0)</f>
        <v>Moderado</v>
      </c>
      <c r="H29" s="2">
        <f>VLOOKUP(F29,'[3]CLUSTER_MUNICIPIOS tarifas'!$D:$F,3,0)</f>
        <v>19001</v>
      </c>
      <c r="I29" s="2" t="s">
        <v>50</v>
      </c>
      <c r="J29" s="18">
        <v>45323</v>
      </c>
      <c r="K29" s="8" t="s">
        <v>22</v>
      </c>
      <c r="L29" s="8" t="s">
        <v>23</v>
      </c>
      <c r="M29" s="5"/>
      <c r="N29" s="2"/>
      <c r="O29" s="2"/>
      <c r="P29" s="2"/>
      <c r="Q29" s="2">
        <v>1</v>
      </c>
      <c r="R29" s="2">
        <v>3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f t="shared" si="2"/>
        <v>4</v>
      </c>
    </row>
    <row r="30" spans="1:29" x14ac:dyDescent="0.2">
      <c r="A30" s="2" t="s">
        <v>359</v>
      </c>
      <c r="B30" s="2" t="s">
        <v>19</v>
      </c>
      <c r="C30" s="27">
        <v>1</v>
      </c>
      <c r="D30" s="2" t="s">
        <v>20</v>
      </c>
      <c r="E30" s="2" t="str">
        <f>VLOOKUP(D30,[1]Comunas!$A:$E,5,0)</f>
        <v>Cauca</v>
      </c>
      <c r="F30" s="7" t="str">
        <f t="shared" si="1"/>
        <v>CaucaPOPAYAN</v>
      </c>
      <c r="G30" s="2" t="str">
        <f>VLOOKUP(F30,'[2]CLUSTER_MUNICIPIOS tarifas'!$D:$E,2,0)</f>
        <v>Moderado</v>
      </c>
      <c r="H30" s="2">
        <f>VLOOKUP(F30,'[3]CLUSTER_MUNICIPIOS tarifas'!$D:$F,3,0)</f>
        <v>19001</v>
      </c>
      <c r="I30" s="2" t="s">
        <v>51</v>
      </c>
      <c r="J30" s="18">
        <v>45323</v>
      </c>
      <c r="K30" s="8" t="s">
        <v>22</v>
      </c>
      <c r="L30" s="8" t="s">
        <v>23</v>
      </c>
      <c r="M30" s="5"/>
      <c r="N30" s="2">
        <v>1</v>
      </c>
      <c r="O30" s="2">
        <v>1</v>
      </c>
      <c r="P30" s="2"/>
      <c r="Q30" s="2"/>
      <c r="R30" s="2">
        <v>3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f t="shared" si="2"/>
        <v>5</v>
      </c>
    </row>
    <row r="31" spans="1:29" x14ac:dyDescent="0.2">
      <c r="A31" s="2" t="s">
        <v>359</v>
      </c>
      <c r="B31" s="2" t="s">
        <v>19</v>
      </c>
      <c r="C31" s="27">
        <v>1</v>
      </c>
      <c r="D31" s="2" t="s">
        <v>20</v>
      </c>
      <c r="E31" s="2" t="str">
        <f>VLOOKUP(D31,[1]Comunas!$A:$E,5,0)</f>
        <v>Cauca</v>
      </c>
      <c r="F31" s="7" t="str">
        <f t="shared" si="1"/>
        <v>CaucaPOPAYAN</v>
      </c>
      <c r="G31" s="2" t="str">
        <f>VLOOKUP(F31,'[2]CLUSTER_MUNICIPIOS tarifas'!$D:$E,2,0)</f>
        <v>Moderado</v>
      </c>
      <c r="H31" s="2">
        <f>VLOOKUP(F31,'[3]CLUSTER_MUNICIPIOS tarifas'!$D:$F,3,0)</f>
        <v>19001</v>
      </c>
      <c r="I31" s="11" t="s">
        <v>52</v>
      </c>
      <c r="J31" s="18">
        <v>45323</v>
      </c>
      <c r="K31" s="8" t="s">
        <v>22</v>
      </c>
      <c r="L31" s="8" t="s">
        <v>23</v>
      </c>
      <c r="M31" s="5"/>
      <c r="N31" s="2">
        <v>80</v>
      </c>
      <c r="O31" s="2">
        <v>9</v>
      </c>
      <c r="P31" s="2">
        <v>3</v>
      </c>
      <c r="Q31" s="2">
        <v>36</v>
      </c>
      <c r="R31" s="2">
        <v>89</v>
      </c>
      <c r="S31" s="2">
        <v>1</v>
      </c>
      <c r="T31" s="2">
        <v>11</v>
      </c>
      <c r="U31" s="2"/>
      <c r="V31" s="2">
        <v>1</v>
      </c>
      <c r="W31" s="2"/>
      <c r="X31" s="2"/>
      <c r="Y31" s="2"/>
      <c r="Z31" s="2"/>
      <c r="AA31" s="2"/>
      <c r="AB31" s="2"/>
      <c r="AC31" s="2">
        <f t="shared" si="2"/>
        <v>230</v>
      </c>
    </row>
    <row r="32" spans="1:29" x14ac:dyDescent="0.2">
      <c r="A32" s="2" t="s">
        <v>359</v>
      </c>
      <c r="B32" s="2" t="s">
        <v>19</v>
      </c>
      <c r="C32" s="27">
        <v>1</v>
      </c>
      <c r="D32" s="2" t="s">
        <v>20</v>
      </c>
      <c r="E32" s="2" t="str">
        <f>VLOOKUP(D32,[1]Comunas!$A:$E,5,0)</f>
        <v>Cauca</v>
      </c>
      <c r="F32" s="7" t="str">
        <f t="shared" si="1"/>
        <v>CaucaPOPAYAN</v>
      </c>
      <c r="G32" s="2" t="str">
        <f>VLOOKUP(F32,'[2]CLUSTER_MUNICIPIOS tarifas'!$D:$E,2,0)</f>
        <v>Moderado</v>
      </c>
      <c r="H32" s="2">
        <f>VLOOKUP(F32,'[3]CLUSTER_MUNICIPIOS tarifas'!$D:$F,3,0)</f>
        <v>19001</v>
      </c>
      <c r="I32" s="2" t="s">
        <v>53</v>
      </c>
      <c r="J32" s="18">
        <v>45323</v>
      </c>
      <c r="K32" s="8" t="s">
        <v>22</v>
      </c>
      <c r="L32" s="8" t="s">
        <v>23</v>
      </c>
      <c r="M32" s="5"/>
      <c r="N32" s="2">
        <v>36</v>
      </c>
      <c r="O32" s="2">
        <v>2</v>
      </c>
      <c r="P32" s="2"/>
      <c r="Q32" s="2">
        <v>17</v>
      </c>
      <c r="R32" s="2">
        <v>10</v>
      </c>
      <c r="S32" s="2"/>
      <c r="T32" s="2">
        <v>1</v>
      </c>
      <c r="U32" s="2"/>
      <c r="V32" s="2"/>
      <c r="W32" s="2"/>
      <c r="X32" s="2">
        <v>5</v>
      </c>
      <c r="Y32" s="2"/>
      <c r="Z32" s="2"/>
      <c r="AA32" s="2"/>
      <c r="AB32" s="2"/>
      <c r="AC32" s="2">
        <f t="shared" si="2"/>
        <v>71</v>
      </c>
    </row>
    <row r="33" spans="1:29" x14ac:dyDescent="0.2">
      <c r="A33" s="2" t="s">
        <v>359</v>
      </c>
      <c r="B33" s="2" t="s">
        <v>19</v>
      </c>
      <c r="C33" s="27">
        <v>1</v>
      </c>
      <c r="D33" s="2" t="s">
        <v>20</v>
      </c>
      <c r="E33" s="2" t="str">
        <f>VLOOKUP(D33,[1]Comunas!$A:$E,5,0)</f>
        <v>Cauca</v>
      </c>
      <c r="F33" s="7" t="str">
        <f t="shared" si="1"/>
        <v>CaucaPOPAYAN</v>
      </c>
      <c r="G33" s="2" t="str">
        <f>VLOOKUP(F33,'[2]CLUSTER_MUNICIPIOS tarifas'!$D:$E,2,0)</f>
        <v>Moderado</v>
      </c>
      <c r="H33" s="2">
        <f>VLOOKUP(F33,'[3]CLUSTER_MUNICIPIOS tarifas'!$D:$F,3,0)</f>
        <v>19001</v>
      </c>
      <c r="I33" s="2" t="s">
        <v>54</v>
      </c>
      <c r="J33" s="18">
        <v>45323</v>
      </c>
      <c r="K33" s="8" t="s">
        <v>22</v>
      </c>
      <c r="L33" s="8" t="s">
        <v>23</v>
      </c>
      <c r="M33" s="5"/>
      <c r="N33" s="2">
        <v>21</v>
      </c>
      <c r="O33" s="2">
        <v>1</v>
      </c>
      <c r="P33" s="2"/>
      <c r="Q33" s="2">
        <v>2</v>
      </c>
      <c r="R33" s="2">
        <v>27</v>
      </c>
      <c r="S33" s="2"/>
      <c r="T33" s="2">
        <v>6</v>
      </c>
      <c r="U33" s="2"/>
      <c r="V33" s="2"/>
      <c r="W33" s="2"/>
      <c r="X33" s="2"/>
      <c r="Y33" s="2"/>
      <c r="Z33" s="2"/>
      <c r="AA33" s="2"/>
      <c r="AB33" s="2"/>
      <c r="AC33" s="2">
        <f t="shared" si="2"/>
        <v>57</v>
      </c>
    </row>
    <row r="34" spans="1:29" x14ac:dyDescent="0.2">
      <c r="A34" s="2" t="s">
        <v>359</v>
      </c>
      <c r="B34" s="2" t="s">
        <v>19</v>
      </c>
      <c r="C34" s="27">
        <v>1</v>
      </c>
      <c r="D34" s="2" t="s">
        <v>20</v>
      </c>
      <c r="E34" s="2" t="str">
        <f>VLOOKUP(D34,[1]Comunas!$A:$E,5,0)</f>
        <v>Cauca</v>
      </c>
      <c r="F34" s="7" t="str">
        <f t="shared" si="1"/>
        <v>CaucaPOPAYAN</v>
      </c>
      <c r="G34" s="2" t="str">
        <f>VLOOKUP(F34,'[2]CLUSTER_MUNICIPIOS tarifas'!$D:$E,2,0)</f>
        <v>Moderado</v>
      </c>
      <c r="H34" s="2">
        <f>VLOOKUP(F34,'[3]CLUSTER_MUNICIPIOS tarifas'!$D:$F,3,0)</f>
        <v>19001</v>
      </c>
      <c r="I34" s="2" t="s">
        <v>55</v>
      </c>
      <c r="J34" s="18">
        <v>45323</v>
      </c>
      <c r="K34" s="8" t="s">
        <v>22</v>
      </c>
      <c r="L34" s="8" t="s">
        <v>23</v>
      </c>
      <c r="M34" s="5"/>
      <c r="N34" s="2">
        <v>12</v>
      </c>
      <c r="O34" s="2">
        <v>24</v>
      </c>
      <c r="P34" s="2"/>
      <c r="Q34" s="2"/>
      <c r="R34" s="2">
        <v>6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f t="shared" si="2"/>
        <v>42</v>
      </c>
    </row>
    <row r="35" spans="1:29" x14ac:dyDescent="0.2">
      <c r="A35" s="2" t="s">
        <v>359</v>
      </c>
      <c r="B35" s="2" t="s">
        <v>19</v>
      </c>
      <c r="C35" s="27">
        <v>1</v>
      </c>
      <c r="D35" s="2" t="s">
        <v>20</v>
      </c>
      <c r="E35" s="2" t="str">
        <f>VLOOKUP(D35,[1]Comunas!$A:$E,5,0)</f>
        <v>Cauca</v>
      </c>
      <c r="F35" s="7" t="str">
        <f t="shared" si="1"/>
        <v>CaucaPOPAYAN</v>
      </c>
      <c r="G35" s="2" t="str">
        <f>VLOOKUP(F35,'[2]CLUSTER_MUNICIPIOS tarifas'!$D:$E,2,0)</f>
        <v>Moderado</v>
      </c>
      <c r="H35" s="2">
        <f>VLOOKUP(F35,'[3]CLUSTER_MUNICIPIOS tarifas'!$D:$F,3,0)</f>
        <v>19001</v>
      </c>
      <c r="I35" s="2" t="s">
        <v>56</v>
      </c>
      <c r="J35" s="18">
        <v>45323</v>
      </c>
      <c r="K35" s="8" t="s">
        <v>22</v>
      </c>
      <c r="L35" s="8" t="s">
        <v>23</v>
      </c>
      <c r="M35" s="5"/>
      <c r="N35" s="2">
        <v>30</v>
      </c>
      <c r="O35" s="2"/>
      <c r="P35" s="2"/>
      <c r="Q35" s="2">
        <v>1</v>
      </c>
      <c r="R35" s="2">
        <v>25</v>
      </c>
      <c r="S35" s="2"/>
      <c r="T35" s="2">
        <v>3</v>
      </c>
      <c r="U35" s="2"/>
      <c r="V35" s="2">
        <v>1</v>
      </c>
      <c r="W35" s="2"/>
      <c r="X35" s="2"/>
      <c r="Y35" s="2"/>
      <c r="Z35" s="2"/>
      <c r="AA35" s="2"/>
      <c r="AB35" s="2"/>
      <c r="AC35" s="2">
        <f t="shared" si="2"/>
        <v>60</v>
      </c>
    </row>
    <row r="36" spans="1:29" x14ac:dyDescent="0.2">
      <c r="A36" s="2" t="s">
        <v>359</v>
      </c>
      <c r="B36" s="2" t="s">
        <v>19</v>
      </c>
      <c r="C36" s="27">
        <v>1</v>
      </c>
      <c r="D36" s="2" t="s">
        <v>20</v>
      </c>
      <c r="E36" s="2" t="str">
        <f>VLOOKUP(D36,[1]Comunas!$A:$E,5,0)</f>
        <v>Cauca</v>
      </c>
      <c r="F36" s="7" t="str">
        <f t="shared" si="1"/>
        <v>CaucaPOPAYAN</v>
      </c>
      <c r="G36" s="2" t="str">
        <f>VLOOKUP(F36,'[2]CLUSTER_MUNICIPIOS tarifas'!$D:$E,2,0)</f>
        <v>Moderado</v>
      </c>
      <c r="H36" s="2">
        <f>VLOOKUP(F36,'[3]CLUSTER_MUNICIPIOS tarifas'!$D:$F,3,0)</f>
        <v>19001</v>
      </c>
      <c r="I36" s="2" t="s">
        <v>57</v>
      </c>
      <c r="J36" s="18">
        <v>45323</v>
      </c>
      <c r="K36" s="8" t="s">
        <v>22</v>
      </c>
      <c r="L36" s="8" t="s">
        <v>23</v>
      </c>
      <c r="M36" s="5"/>
      <c r="N36" s="2">
        <v>27</v>
      </c>
      <c r="O36" s="2">
        <v>2</v>
      </c>
      <c r="P36" s="2"/>
      <c r="Q36" s="2">
        <v>7</v>
      </c>
      <c r="R36" s="2">
        <v>2</v>
      </c>
      <c r="S36" s="2"/>
      <c r="T36" s="2">
        <v>1</v>
      </c>
      <c r="U36" s="2"/>
      <c r="V36" s="2"/>
      <c r="W36" s="2"/>
      <c r="X36" s="2"/>
      <c r="Y36" s="2"/>
      <c r="Z36" s="2"/>
      <c r="AA36" s="2"/>
      <c r="AB36" s="2"/>
      <c r="AC36" s="2">
        <f t="shared" si="2"/>
        <v>39</v>
      </c>
    </row>
    <row r="37" spans="1:29" x14ac:dyDescent="0.2">
      <c r="A37" s="2" t="s">
        <v>359</v>
      </c>
      <c r="B37" s="2" t="s">
        <v>19</v>
      </c>
      <c r="C37" s="27">
        <v>1</v>
      </c>
      <c r="D37" s="2" t="s">
        <v>20</v>
      </c>
      <c r="E37" s="2" t="str">
        <f>VLOOKUP(D37,[1]Comunas!$A:$E,5,0)</f>
        <v>Cauca</v>
      </c>
      <c r="F37" s="7" t="str">
        <f t="shared" si="1"/>
        <v>CaucaPOPAYAN</v>
      </c>
      <c r="G37" s="2" t="str">
        <f>VLOOKUP(F37,'[2]CLUSTER_MUNICIPIOS tarifas'!$D:$E,2,0)</f>
        <v>Moderado</v>
      </c>
      <c r="H37" s="2">
        <f>VLOOKUP(F37,'[3]CLUSTER_MUNICIPIOS tarifas'!$D:$F,3,0)</f>
        <v>19001</v>
      </c>
      <c r="I37" s="2" t="s">
        <v>58</v>
      </c>
      <c r="J37" s="18">
        <v>45323</v>
      </c>
      <c r="K37" s="8" t="s">
        <v>22</v>
      </c>
      <c r="L37" s="8" t="s">
        <v>23</v>
      </c>
      <c r="M37" s="5"/>
      <c r="N37" s="2">
        <v>25</v>
      </c>
      <c r="O37" s="2"/>
      <c r="P37" s="2"/>
      <c r="Q37" s="2">
        <v>5</v>
      </c>
      <c r="R37" s="2">
        <v>4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f t="shared" si="2"/>
        <v>34</v>
      </c>
    </row>
    <row r="38" spans="1:29" x14ac:dyDescent="0.2">
      <c r="A38" s="2" t="s">
        <v>359</v>
      </c>
      <c r="B38" s="2" t="s">
        <v>19</v>
      </c>
      <c r="C38" s="27">
        <v>1</v>
      </c>
      <c r="D38" s="2" t="s">
        <v>20</v>
      </c>
      <c r="E38" s="2" t="str">
        <f>VLOOKUP(D38,[1]Comunas!$A:$E,5,0)</f>
        <v>Cauca</v>
      </c>
      <c r="F38" s="7" t="str">
        <f t="shared" si="1"/>
        <v>CaucaPOPAYAN</v>
      </c>
      <c r="G38" s="2" t="str">
        <f>VLOOKUP(F38,'[2]CLUSTER_MUNICIPIOS tarifas'!$D:$E,2,0)</f>
        <v>Moderado</v>
      </c>
      <c r="H38" s="2">
        <f>VLOOKUP(F38,'[3]CLUSTER_MUNICIPIOS tarifas'!$D:$F,3,0)</f>
        <v>19001</v>
      </c>
      <c r="I38" s="2" t="s">
        <v>59</v>
      </c>
      <c r="J38" s="18">
        <v>45323</v>
      </c>
      <c r="K38" s="8" t="s">
        <v>22</v>
      </c>
      <c r="L38" s="8" t="s">
        <v>23</v>
      </c>
      <c r="M38" s="5"/>
      <c r="N38" s="2">
        <v>2</v>
      </c>
      <c r="O38" s="2"/>
      <c r="P38" s="2"/>
      <c r="Q38" s="2">
        <v>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f t="shared" si="2"/>
        <v>3</v>
      </c>
    </row>
    <row r="39" spans="1:29" x14ac:dyDescent="0.2">
      <c r="A39" s="2" t="s">
        <v>359</v>
      </c>
      <c r="B39" s="2" t="s">
        <v>19</v>
      </c>
      <c r="C39" s="27">
        <v>1</v>
      </c>
      <c r="D39" s="2" t="s">
        <v>20</v>
      </c>
      <c r="E39" s="2" t="str">
        <f>VLOOKUP(D39,[1]Comunas!$A:$E,5,0)</f>
        <v>Cauca</v>
      </c>
      <c r="F39" s="7" t="str">
        <f t="shared" si="1"/>
        <v>CaucaPOPAYAN</v>
      </c>
      <c r="G39" s="2" t="str">
        <f>VLOOKUP(F39,'[2]CLUSTER_MUNICIPIOS tarifas'!$D:$E,2,0)</f>
        <v>Moderado</v>
      </c>
      <c r="H39" s="2">
        <f>VLOOKUP(F39,'[3]CLUSTER_MUNICIPIOS tarifas'!$D:$F,3,0)</f>
        <v>19001</v>
      </c>
      <c r="I39" s="2" t="s">
        <v>60</v>
      </c>
      <c r="J39" s="18">
        <v>45323</v>
      </c>
      <c r="K39" s="8" t="s">
        <v>22</v>
      </c>
      <c r="L39" s="8" t="s">
        <v>23</v>
      </c>
      <c r="M39" s="5"/>
      <c r="N39" s="2"/>
      <c r="O39" s="2"/>
      <c r="P39" s="2"/>
      <c r="Q39" s="2"/>
      <c r="R39" s="2"/>
      <c r="S39" s="2"/>
      <c r="T39" s="2">
        <v>2</v>
      </c>
      <c r="U39" s="2"/>
      <c r="V39" s="2"/>
      <c r="W39" s="2"/>
      <c r="X39" s="2"/>
      <c r="Y39" s="2"/>
      <c r="Z39" s="2"/>
      <c r="AA39" s="2"/>
      <c r="AB39" s="2"/>
      <c r="AC39" s="2">
        <f t="shared" si="2"/>
        <v>2</v>
      </c>
    </row>
    <row r="40" spans="1:29" x14ac:dyDescent="0.2">
      <c r="A40" s="2" t="s">
        <v>359</v>
      </c>
      <c r="B40" s="2" t="s">
        <v>19</v>
      </c>
      <c r="C40" s="27">
        <v>1</v>
      </c>
      <c r="D40" s="2" t="s">
        <v>20</v>
      </c>
      <c r="E40" s="2" t="str">
        <f>VLOOKUP(D40,[1]Comunas!$A:$E,5,0)</f>
        <v>Cauca</v>
      </c>
      <c r="F40" s="7" t="str">
        <f t="shared" si="1"/>
        <v>CaucaPOPAYAN</v>
      </c>
      <c r="G40" s="2" t="str">
        <f>VLOOKUP(F40,'[2]CLUSTER_MUNICIPIOS tarifas'!$D:$E,2,0)</f>
        <v>Moderado</v>
      </c>
      <c r="H40" s="2">
        <f>VLOOKUP(F40,'[3]CLUSTER_MUNICIPIOS tarifas'!$D:$F,3,0)</f>
        <v>19001</v>
      </c>
      <c r="I40" s="2" t="s">
        <v>61</v>
      </c>
      <c r="J40" s="18">
        <v>45323</v>
      </c>
      <c r="K40" s="8" t="s">
        <v>22</v>
      </c>
      <c r="L40" s="8" t="s">
        <v>23</v>
      </c>
      <c r="M40" s="5"/>
      <c r="N40" s="2">
        <v>2</v>
      </c>
      <c r="O40" s="2"/>
      <c r="P40" s="2"/>
      <c r="Q40" s="2"/>
      <c r="R40" s="2">
        <v>1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f t="shared" si="2"/>
        <v>3</v>
      </c>
    </row>
    <row r="41" spans="1:29" x14ac:dyDescent="0.2">
      <c r="A41" s="2" t="s">
        <v>359</v>
      </c>
      <c r="B41" s="2" t="s">
        <v>19</v>
      </c>
      <c r="C41" s="27">
        <v>1</v>
      </c>
      <c r="D41" s="2" t="s">
        <v>20</v>
      </c>
      <c r="E41" s="2" t="str">
        <f>VLOOKUP(D41,[1]Comunas!$A:$E,5,0)</f>
        <v>Cauca</v>
      </c>
      <c r="F41" s="7" t="str">
        <f t="shared" si="1"/>
        <v>CaucaPOPAYAN</v>
      </c>
      <c r="G41" s="2" t="str">
        <f>VLOOKUP(F41,'[2]CLUSTER_MUNICIPIOS tarifas'!$D:$E,2,0)</f>
        <v>Moderado</v>
      </c>
      <c r="H41" s="2">
        <f>VLOOKUP(F41,'[3]CLUSTER_MUNICIPIOS tarifas'!$D:$F,3,0)</f>
        <v>19001</v>
      </c>
      <c r="I41" s="2" t="s">
        <v>62</v>
      </c>
      <c r="J41" s="18">
        <v>45323</v>
      </c>
      <c r="K41" s="8" t="s">
        <v>22</v>
      </c>
      <c r="L41" s="8" t="s">
        <v>23</v>
      </c>
      <c r="M41" s="5"/>
      <c r="N41" s="2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>
        <f t="shared" si="2"/>
        <v>2</v>
      </c>
    </row>
    <row r="42" spans="1:29" x14ac:dyDescent="0.2">
      <c r="A42" s="2" t="s">
        <v>359</v>
      </c>
      <c r="B42" s="2" t="s">
        <v>19</v>
      </c>
      <c r="C42" s="27">
        <v>1</v>
      </c>
      <c r="D42" s="2" t="s">
        <v>20</v>
      </c>
      <c r="E42" s="2" t="str">
        <f>VLOOKUP(D42,[1]Comunas!$A:$E,5,0)</f>
        <v>Cauca</v>
      </c>
      <c r="F42" s="7" t="str">
        <f t="shared" si="1"/>
        <v>CaucaPOPAYAN</v>
      </c>
      <c r="G42" s="2" t="str">
        <f>VLOOKUP(F42,'[2]CLUSTER_MUNICIPIOS tarifas'!$D:$E,2,0)</f>
        <v>Moderado</v>
      </c>
      <c r="H42" s="2">
        <f>VLOOKUP(F42,'[3]CLUSTER_MUNICIPIOS tarifas'!$D:$F,3,0)</f>
        <v>19001</v>
      </c>
      <c r="I42" s="2" t="s">
        <v>63</v>
      </c>
      <c r="J42" s="18">
        <v>45323</v>
      </c>
      <c r="K42" s="8" t="s">
        <v>22</v>
      </c>
      <c r="L42" s="8" t="s">
        <v>23</v>
      </c>
      <c r="M42" s="5"/>
      <c r="N42" s="2">
        <v>11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>
        <f t="shared" si="2"/>
        <v>11</v>
      </c>
    </row>
    <row r="43" spans="1:29" x14ac:dyDescent="0.2">
      <c r="A43" s="2" t="s">
        <v>359</v>
      </c>
      <c r="B43" s="2" t="s">
        <v>19</v>
      </c>
      <c r="C43" s="27">
        <v>1</v>
      </c>
      <c r="D43" s="2" t="s">
        <v>20</v>
      </c>
      <c r="E43" s="2" t="str">
        <f>VLOOKUP(D43,[1]Comunas!$A:$E,5,0)</f>
        <v>Cauca</v>
      </c>
      <c r="F43" s="7" t="str">
        <f t="shared" si="1"/>
        <v>CaucaPOPAYAN</v>
      </c>
      <c r="G43" s="2" t="str">
        <f>VLOOKUP(F43,'[2]CLUSTER_MUNICIPIOS tarifas'!$D:$E,2,0)</f>
        <v>Moderado</v>
      </c>
      <c r="H43" s="2">
        <f>VLOOKUP(F43,'[3]CLUSTER_MUNICIPIOS tarifas'!$D:$F,3,0)</f>
        <v>19001</v>
      </c>
      <c r="I43" s="2" t="s">
        <v>64</v>
      </c>
      <c r="J43" s="18">
        <v>45323</v>
      </c>
      <c r="K43" s="8" t="s">
        <v>22</v>
      </c>
      <c r="L43" s="8" t="s">
        <v>23</v>
      </c>
      <c r="M43" s="5"/>
      <c r="N43" s="2">
        <v>22</v>
      </c>
      <c r="O43" s="2">
        <v>9</v>
      </c>
      <c r="P43" s="2"/>
      <c r="Q43" s="2">
        <v>4</v>
      </c>
      <c r="R43" s="2">
        <v>10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>
        <f t="shared" si="2"/>
        <v>45</v>
      </c>
    </row>
    <row r="44" spans="1:29" x14ac:dyDescent="0.2">
      <c r="A44" s="2" t="s">
        <v>359</v>
      </c>
      <c r="B44" s="2" t="s">
        <v>19</v>
      </c>
      <c r="C44" s="27">
        <v>1</v>
      </c>
      <c r="D44" s="2" t="s">
        <v>20</v>
      </c>
      <c r="E44" s="2" t="str">
        <f>VLOOKUP(D44,[1]Comunas!$A:$E,5,0)</f>
        <v>Cauca</v>
      </c>
      <c r="F44" s="7" t="str">
        <f t="shared" si="1"/>
        <v>CaucaPOPAYAN</v>
      </c>
      <c r="G44" s="2" t="str">
        <f>VLOOKUP(F44,'[2]CLUSTER_MUNICIPIOS tarifas'!$D:$E,2,0)</f>
        <v>Moderado</v>
      </c>
      <c r="H44" s="2">
        <f>VLOOKUP(F44,'[3]CLUSTER_MUNICIPIOS tarifas'!$D:$F,3,0)</f>
        <v>19001</v>
      </c>
      <c r="I44" s="2" t="s">
        <v>65</v>
      </c>
      <c r="J44" s="18">
        <v>45323</v>
      </c>
      <c r="K44" s="8" t="s">
        <v>22</v>
      </c>
      <c r="L44" s="8" t="s">
        <v>23</v>
      </c>
      <c r="M44" s="5"/>
      <c r="N44" s="2">
        <v>4</v>
      </c>
      <c r="O44" s="2"/>
      <c r="P44" s="2"/>
      <c r="Q44" s="2">
        <v>1</v>
      </c>
      <c r="R44" s="2">
        <v>3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>
        <f t="shared" si="2"/>
        <v>8</v>
      </c>
    </row>
    <row r="45" spans="1:29" x14ac:dyDescent="0.2">
      <c r="A45" s="2" t="s">
        <v>359</v>
      </c>
      <c r="B45" s="2" t="s">
        <v>19</v>
      </c>
      <c r="C45" s="27">
        <v>1</v>
      </c>
      <c r="D45" s="2" t="s">
        <v>20</v>
      </c>
      <c r="E45" s="2" t="str">
        <f>VLOOKUP(D45,[1]Comunas!$A:$E,5,0)</f>
        <v>Cauca</v>
      </c>
      <c r="F45" s="7" t="str">
        <f t="shared" si="1"/>
        <v>CaucaPOPAYAN</v>
      </c>
      <c r="G45" s="2" t="str">
        <f>VLOOKUP(F45,'[2]CLUSTER_MUNICIPIOS tarifas'!$D:$E,2,0)</f>
        <v>Moderado</v>
      </c>
      <c r="H45" s="2">
        <f>VLOOKUP(F45,'[3]CLUSTER_MUNICIPIOS tarifas'!$D:$F,3,0)</f>
        <v>19001</v>
      </c>
      <c r="I45" s="2" t="s">
        <v>66</v>
      </c>
      <c r="J45" s="18">
        <v>45323</v>
      </c>
      <c r="K45" s="8" t="s">
        <v>22</v>
      </c>
      <c r="L45" s="8" t="s">
        <v>23</v>
      </c>
      <c r="M45" s="5"/>
      <c r="N45" s="2">
        <v>2</v>
      </c>
      <c r="O45" s="2"/>
      <c r="P45" s="2"/>
      <c r="Q45" s="2"/>
      <c r="R45" s="2">
        <v>1</v>
      </c>
      <c r="S45" s="2"/>
      <c r="T45" s="2">
        <v>1</v>
      </c>
      <c r="U45" s="2"/>
      <c r="V45" s="2"/>
      <c r="W45" s="2"/>
      <c r="X45" s="2"/>
      <c r="Y45" s="2"/>
      <c r="Z45" s="2"/>
      <c r="AA45" s="2"/>
      <c r="AB45" s="2"/>
      <c r="AC45" s="2">
        <f t="shared" si="2"/>
        <v>4</v>
      </c>
    </row>
    <row r="46" spans="1:29" x14ac:dyDescent="0.2">
      <c r="A46" s="2" t="s">
        <v>359</v>
      </c>
      <c r="B46" s="2" t="s">
        <v>19</v>
      </c>
      <c r="C46" s="27">
        <v>1</v>
      </c>
      <c r="D46" s="2" t="s">
        <v>20</v>
      </c>
      <c r="E46" s="2" t="str">
        <f>VLOOKUP(D46,[1]Comunas!$A:$E,5,0)</f>
        <v>Cauca</v>
      </c>
      <c r="F46" s="7" t="str">
        <f t="shared" si="1"/>
        <v>CaucaPOPAYAN</v>
      </c>
      <c r="G46" s="2" t="str">
        <f>VLOOKUP(F46,'[2]CLUSTER_MUNICIPIOS tarifas'!$D:$E,2,0)</f>
        <v>Moderado</v>
      </c>
      <c r="H46" s="2">
        <f>VLOOKUP(F46,'[3]CLUSTER_MUNICIPIOS tarifas'!$D:$F,3,0)</f>
        <v>19001</v>
      </c>
      <c r="I46" s="2" t="s">
        <v>67</v>
      </c>
      <c r="J46" s="18">
        <v>45323</v>
      </c>
      <c r="K46" s="8" t="s">
        <v>22</v>
      </c>
      <c r="L46" s="8" t="s">
        <v>23</v>
      </c>
      <c r="M46" s="5"/>
      <c r="N46" s="2">
        <v>4</v>
      </c>
      <c r="O46" s="2">
        <v>11</v>
      </c>
      <c r="P46" s="2"/>
      <c r="Q46" s="2">
        <v>3</v>
      </c>
      <c r="R46" s="2">
        <v>1</v>
      </c>
      <c r="S46" s="2">
        <v>2</v>
      </c>
      <c r="T46" s="2"/>
      <c r="U46" s="2"/>
      <c r="V46" s="2"/>
      <c r="W46" s="2"/>
      <c r="X46" s="2"/>
      <c r="Y46" s="2"/>
      <c r="Z46" s="2"/>
      <c r="AA46" s="2"/>
      <c r="AB46" s="2"/>
      <c r="AC46" s="2">
        <f t="shared" si="2"/>
        <v>21</v>
      </c>
    </row>
    <row r="47" spans="1:29" x14ac:dyDescent="0.2">
      <c r="A47" s="2" t="s">
        <v>359</v>
      </c>
      <c r="B47" s="2" t="s">
        <v>19</v>
      </c>
      <c r="C47" s="27">
        <v>1</v>
      </c>
      <c r="D47" s="2" t="s">
        <v>20</v>
      </c>
      <c r="E47" s="2" t="str">
        <f>VLOOKUP(D47,[1]Comunas!$A:$E,5,0)</f>
        <v>Cauca</v>
      </c>
      <c r="F47" s="7" t="str">
        <f t="shared" si="1"/>
        <v>CaucaPOPAYAN</v>
      </c>
      <c r="G47" s="2" t="str">
        <f>VLOOKUP(F47,'[2]CLUSTER_MUNICIPIOS tarifas'!$D:$E,2,0)</f>
        <v>Moderado</v>
      </c>
      <c r="H47" s="2">
        <f>VLOOKUP(F47,'[3]CLUSTER_MUNICIPIOS tarifas'!$D:$F,3,0)</f>
        <v>19001</v>
      </c>
      <c r="I47" s="2" t="s">
        <v>68</v>
      </c>
      <c r="J47" s="18">
        <v>45323</v>
      </c>
      <c r="K47" s="8" t="s">
        <v>22</v>
      </c>
      <c r="L47" s="8" t="s">
        <v>23</v>
      </c>
      <c r="M47" s="5"/>
      <c r="N47" s="2">
        <v>7</v>
      </c>
      <c r="O47" s="2">
        <v>2</v>
      </c>
      <c r="P47" s="2"/>
      <c r="Q47" s="2">
        <v>1</v>
      </c>
      <c r="R47" s="2">
        <v>1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>
        <f t="shared" si="2"/>
        <v>11</v>
      </c>
    </row>
    <row r="48" spans="1:29" x14ac:dyDescent="0.2">
      <c r="A48" s="2" t="s">
        <v>359</v>
      </c>
      <c r="B48" s="2" t="s">
        <v>19</v>
      </c>
      <c r="C48" s="27">
        <v>1</v>
      </c>
      <c r="D48" s="2" t="s">
        <v>20</v>
      </c>
      <c r="E48" s="2" t="str">
        <f>VLOOKUP(D48,[1]Comunas!$A:$E,5,0)</f>
        <v>Cauca</v>
      </c>
      <c r="F48" s="7" t="str">
        <f t="shared" si="1"/>
        <v>CaucaPOPAYAN</v>
      </c>
      <c r="G48" s="2" t="str">
        <f>VLOOKUP(F48,'[2]CLUSTER_MUNICIPIOS tarifas'!$D:$E,2,0)</f>
        <v>Moderado</v>
      </c>
      <c r="H48" s="2">
        <f>VLOOKUP(F48,'[3]CLUSTER_MUNICIPIOS tarifas'!$D:$F,3,0)</f>
        <v>19001</v>
      </c>
      <c r="I48" s="2" t="s">
        <v>69</v>
      </c>
      <c r="J48" s="18">
        <v>45323</v>
      </c>
      <c r="K48" s="8" t="s">
        <v>22</v>
      </c>
      <c r="L48" s="8" t="s">
        <v>23</v>
      </c>
      <c r="M48" s="5"/>
      <c r="N48" s="2">
        <v>13</v>
      </c>
      <c r="O48" s="2">
        <v>4</v>
      </c>
      <c r="P48" s="2">
        <v>1</v>
      </c>
      <c r="Q48" s="2">
        <v>5</v>
      </c>
      <c r="R48" s="2">
        <v>15</v>
      </c>
      <c r="S48" s="2"/>
      <c r="T48" s="2">
        <v>4</v>
      </c>
      <c r="U48" s="2"/>
      <c r="V48" s="2"/>
      <c r="W48" s="2"/>
      <c r="X48" s="2"/>
      <c r="Y48" s="2"/>
      <c r="Z48" s="2"/>
      <c r="AA48" s="2"/>
      <c r="AB48" s="2"/>
      <c r="AC48" s="2">
        <f t="shared" si="2"/>
        <v>42</v>
      </c>
    </row>
    <row r="49" spans="1:29" x14ac:dyDescent="0.2">
      <c r="A49" s="2" t="s">
        <v>359</v>
      </c>
      <c r="B49" s="2" t="s">
        <v>19</v>
      </c>
      <c r="C49" s="27">
        <v>1</v>
      </c>
      <c r="D49" s="2" t="s">
        <v>20</v>
      </c>
      <c r="E49" s="2" t="str">
        <f>VLOOKUP(D49,[1]Comunas!$A:$E,5,0)</f>
        <v>Cauca</v>
      </c>
      <c r="F49" s="7" t="str">
        <f t="shared" si="1"/>
        <v>CaucaPOPAYAN</v>
      </c>
      <c r="G49" s="2" t="str">
        <f>VLOOKUP(F49,'[2]CLUSTER_MUNICIPIOS tarifas'!$D:$E,2,0)</f>
        <v>Moderado</v>
      </c>
      <c r="H49" s="2">
        <f>VLOOKUP(F49,'[3]CLUSTER_MUNICIPIOS tarifas'!$D:$F,3,0)</f>
        <v>19001</v>
      </c>
      <c r="I49" s="2" t="s">
        <v>70</v>
      </c>
      <c r="J49" s="18">
        <v>45323</v>
      </c>
      <c r="K49" s="8" t="s">
        <v>22</v>
      </c>
      <c r="L49" s="8" t="s">
        <v>23</v>
      </c>
      <c r="M49" s="5"/>
      <c r="N49" s="2">
        <v>11</v>
      </c>
      <c r="O49" s="2">
        <v>1</v>
      </c>
      <c r="P49" s="2"/>
      <c r="Q49" s="2">
        <v>9</v>
      </c>
      <c r="R49" s="2">
        <v>6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f t="shared" si="2"/>
        <v>27</v>
      </c>
    </row>
    <row r="50" spans="1:29" x14ac:dyDescent="0.2">
      <c r="A50" s="2" t="s">
        <v>359</v>
      </c>
      <c r="B50" s="2" t="s">
        <v>19</v>
      </c>
      <c r="C50" s="27">
        <v>1</v>
      </c>
      <c r="D50" s="2" t="s">
        <v>20</v>
      </c>
      <c r="E50" s="2" t="str">
        <f>VLOOKUP(D50,[1]Comunas!$A:$E,5,0)</f>
        <v>Cauca</v>
      </c>
      <c r="F50" s="7" t="str">
        <f t="shared" si="1"/>
        <v>CaucaPOPAYAN</v>
      </c>
      <c r="G50" s="2" t="str">
        <f>VLOOKUP(F50,'[2]CLUSTER_MUNICIPIOS tarifas'!$D:$E,2,0)</f>
        <v>Moderado</v>
      </c>
      <c r="H50" s="2">
        <f>VLOOKUP(F50,'[3]CLUSTER_MUNICIPIOS tarifas'!$D:$F,3,0)</f>
        <v>19001</v>
      </c>
      <c r="I50" s="2" t="s">
        <v>71</v>
      </c>
      <c r="J50" s="18">
        <v>45323</v>
      </c>
      <c r="K50" s="8" t="s">
        <v>22</v>
      </c>
      <c r="L50" s="8" t="s">
        <v>23</v>
      </c>
      <c r="M50" s="5"/>
      <c r="N50" s="2">
        <v>36</v>
      </c>
      <c r="O50" s="2"/>
      <c r="P50" s="2"/>
      <c r="Q50" s="2">
        <v>6</v>
      </c>
      <c r="R50" s="2">
        <v>11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>
        <f t="shared" si="2"/>
        <v>53</v>
      </c>
    </row>
    <row r="51" spans="1:29" x14ac:dyDescent="0.2">
      <c r="A51" s="2" t="s">
        <v>359</v>
      </c>
      <c r="B51" s="2" t="s">
        <v>19</v>
      </c>
      <c r="C51" s="27">
        <v>1</v>
      </c>
      <c r="D51" s="2" t="s">
        <v>20</v>
      </c>
      <c r="E51" s="2" t="str">
        <f>VLOOKUP(D51,[1]Comunas!$A:$E,5,0)</f>
        <v>Cauca</v>
      </c>
      <c r="F51" s="7" t="str">
        <f t="shared" si="1"/>
        <v>CaucaPOPAYAN</v>
      </c>
      <c r="G51" s="2" t="str">
        <f>VLOOKUP(F51,'[2]CLUSTER_MUNICIPIOS tarifas'!$D:$E,2,0)</f>
        <v>Moderado</v>
      </c>
      <c r="H51" s="2">
        <f>VLOOKUP(F51,'[3]CLUSTER_MUNICIPIOS tarifas'!$D:$F,3,0)</f>
        <v>19001</v>
      </c>
      <c r="I51" s="2" t="s">
        <v>72</v>
      </c>
      <c r="J51" s="18">
        <v>45323</v>
      </c>
      <c r="K51" s="8" t="s">
        <v>22</v>
      </c>
      <c r="L51" s="8" t="s">
        <v>23</v>
      </c>
      <c r="M51" s="5"/>
      <c r="N51" s="2">
        <v>2</v>
      </c>
      <c r="O51" s="2"/>
      <c r="P51" s="2">
        <v>7</v>
      </c>
      <c r="Q51" s="2">
        <v>8</v>
      </c>
      <c r="R51" s="2">
        <v>2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f t="shared" si="2"/>
        <v>19</v>
      </c>
    </row>
    <row r="52" spans="1:29" x14ac:dyDescent="0.2">
      <c r="A52" s="2" t="s">
        <v>359</v>
      </c>
      <c r="B52" s="2" t="s">
        <v>19</v>
      </c>
      <c r="C52" s="27">
        <v>1</v>
      </c>
      <c r="D52" s="2" t="s">
        <v>20</v>
      </c>
      <c r="E52" s="2" t="str">
        <f>VLOOKUP(D52,[1]Comunas!$A:$E,5,0)</f>
        <v>Cauca</v>
      </c>
      <c r="F52" s="7" t="str">
        <f t="shared" si="1"/>
        <v>CaucaPOPAYAN</v>
      </c>
      <c r="G52" s="2" t="str">
        <f>VLOOKUP(F52,'[2]CLUSTER_MUNICIPIOS tarifas'!$D:$E,2,0)</f>
        <v>Moderado</v>
      </c>
      <c r="H52" s="2">
        <f>VLOOKUP(F52,'[3]CLUSTER_MUNICIPIOS tarifas'!$D:$F,3,0)</f>
        <v>19001</v>
      </c>
      <c r="I52" s="2" t="s">
        <v>73</v>
      </c>
      <c r="J52" s="18">
        <v>45323</v>
      </c>
      <c r="K52" s="8" t="s">
        <v>22</v>
      </c>
      <c r="L52" s="8" t="s">
        <v>23</v>
      </c>
      <c r="M52" s="5"/>
      <c r="N52" s="2">
        <v>31</v>
      </c>
      <c r="O52" s="2">
        <v>7</v>
      </c>
      <c r="P52" s="2">
        <v>2</v>
      </c>
      <c r="Q52" s="2">
        <v>18</v>
      </c>
      <c r="R52" s="2">
        <v>10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f t="shared" si="2"/>
        <v>68</v>
      </c>
    </row>
    <row r="53" spans="1:29" x14ac:dyDescent="0.2">
      <c r="A53" s="2" t="s">
        <v>359</v>
      </c>
      <c r="B53" s="2" t="s">
        <v>19</v>
      </c>
      <c r="C53" s="27">
        <v>1</v>
      </c>
      <c r="D53" s="2" t="s">
        <v>20</v>
      </c>
      <c r="E53" s="2" t="str">
        <f>VLOOKUP(D53,[1]Comunas!$A:$E,5,0)</f>
        <v>Cauca</v>
      </c>
      <c r="F53" s="7" t="str">
        <f t="shared" si="1"/>
        <v>CaucaPOPAYAN</v>
      </c>
      <c r="G53" s="2" t="str">
        <f>VLOOKUP(F53,'[2]CLUSTER_MUNICIPIOS tarifas'!$D:$E,2,0)</f>
        <v>Moderado</v>
      </c>
      <c r="H53" s="2">
        <f>VLOOKUP(F53,'[3]CLUSTER_MUNICIPIOS tarifas'!$D:$F,3,0)</f>
        <v>19001</v>
      </c>
      <c r="I53" s="2" t="s">
        <v>74</v>
      </c>
      <c r="J53" s="18">
        <v>45323</v>
      </c>
      <c r="K53" s="8" t="s">
        <v>22</v>
      </c>
      <c r="L53" s="8" t="s">
        <v>23</v>
      </c>
      <c r="M53" s="5"/>
      <c r="N53" s="2"/>
      <c r="O53" s="2"/>
      <c r="P53" s="2"/>
      <c r="Q53" s="2">
        <v>1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>
        <f t="shared" si="2"/>
        <v>1</v>
      </c>
    </row>
    <row r="54" spans="1:29" x14ac:dyDescent="0.2">
      <c r="A54" s="2" t="s">
        <v>359</v>
      </c>
      <c r="B54" s="2" t="s">
        <v>19</v>
      </c>
      <c r="C54" s="27">
        <v>1</v>
      </c>
      <c r="D54" s="2" t="s">
        <v>20</v>
      </c>
      <c r="E54" s="2" t="str">
        <f>VLOOKUP(D54,[1]Comunas!$A:$E,5,0)</f>
        <v>Cauca</v>
      </c>
      <c r="F54" s="7" t="str">
        <f t="shared" si="1"/>
        <v>CaucaPOPAYAN</v>
      </c>
      <c r="G54" s="2" t="str">
        <f>VLOOKUP(F54,'[2]CLUSTER_MUNICIPIOS tarifas'!$D:$E,2,0)</f>
        <v>Moderado</v>
      </c>
      <c r="H54" s="2">
        <f>VLOOKUP(F54,'[3]CLUSTER_MUNICIPIOS tarifas'!$D:$F,3,0)</f>
        <v>19001</v>
      </c>
      <c r="I54" s="2" t="s">
        <v>75</v>
      </c>
      <c r="J54" s="18">
        <v>45323</v>
      </c>
      <c r="K54" s="8" t="s">
        <v>22</v>
      </c>
      <c r="L54" s="8" t="s">
        <v>23</v>
      </c>
      <c r="M54" s="5"/>
      <c r="N54" s="2">
        <v>19</v>
      </c>
      <c r="O54" s="2">
        <v>5</v>
      </c>
      <c r="P54" s="2"/>
      <c r="Q54" s="2">
        <v>1</v>
      </c>
      <c r="R54" s="2">
        <v>4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>
        <f t="shared" si="2"/>
        <v>29</v>
      </c>
    </row>
    <row r="55" spans="1:29" x14ac:dyDescent="0.2">
      <c r="A55" s="2" t="s">
        <v>359</v>
      </c>
      <c r="B55" s="2" t="s">
        <v>19</v>
      </c>
      <c r="C55" s="27">
        <v>1</v>
      </c>
      <c r="D55" s="2" t="s">
        <v>20</v>
      </c>
      <c r="E55" s="2" t="str">
        <f>VLOOKUP(D55,[1]Comunas!$A:$E,5,0)</f>
        <v>Cauca</v>
      </c>
      <c r="F55" s="7" t="str">
        <f t="shared" si="1"/>
        <v>CaucaPOPAYAN</v>
      </c>
      <c r="G55" s="2" t="str">
        <f>VLOOKUP(F55,'[2]CLUSTER_MUNICIPIOS tarifas'!$D:$E,2,0)</f>
        <v>Moderado</v>
      </c>
      <c r="H55" s="2">
        <f>VLOOKUP(F55,'[3]CLUSTER_MUNICIPIOS tarifas'!$D:$F,3,0)</f>
        <v>19001</v>
      </c>
      <c r="I55" s="2" t="s">
        <v>76</v>
      </c>
      <c r="J55" s="18">
        <v>45323</v>
      </c>
      <c r="K55" s="8" t="s">
        <v>22</v>
      </c>
      <c r="L55" s="8" t="s">
        <v>23</v>
      </c>
      <c r="M55" s="5"/>
      <c r="N55" s="2">
        <v>27</v>
      </c>
      <c r="O55" s="2">
        <v>12</v>
      </c>
      <c r="P55" s="2"/>
      <c r="Q55" s="2"/>
      <c r="R55" s="2">
        <v>5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>
        <f t="shared" si="2"/>
        <v>44</v>
      </c>
    </row>
    <row r="56" spans="1:29" x14ac:dyDescent="0.2">
      <c r="A56" s="2" t="s">
        <v>359</v>
      </c>
      <c r="B56" s="2" t="s">
        <v>19</v>
      </c>
      <c r="C56" s="27">
        <v>1</v>
      </c>
      <c r="D56" s="2" t="s">
        <v>20</v>
      </c>
      <c r="E56" s="2" t="str">
        <f>VLOOKUP(D56,[1]Comunas!$A:$E,5,0)</f>
        <v>Cauca</v>
      </c>
      <c r="F56" s="7" t="str">
        <f t="shared" si="1"/>
        <v>CaucaPOPAYAN</v>
      </c>
      <c r="G56" s="2" t="str">
        <f>VLOOKUP(F56,'[2]CLUSTER_MUNICIPIOS tarifas'!$D:$E,2,0)</f>
        <v>Moderado</v>
      </c>
      <c r="H56" s="2">
        <f>VLOOKUP(F56,'[3]CLUSTER_MUNICIPIOS tarifas'!$D:$F,3,0)</f>
        <v>19001</v>
      </c>
      <c r="I56" s="2" t="s">
        <v>77</v>
      </c>
      <c r="J56" s="18">
        <v>45323</v>
      </c>
      <c r="K56" s="8" t="s">
        <v>22</v>
      </c>
      <c r="L56" s="8" t="s">
        <v>23</v>
      </c>
      <c r="M56" s="5"/>
      <c r="N56" s="2">
        <v>22</v>
      </c>
      <c r="O56" s="2">
        <v>1</v>
      </c>
      <c r="P56" s="2">
        <v>5</v>
      </c>
      <c r="Q56" s="2">
        <v>14</v>
      </c>
      <c r="R56" s="2">
        <v>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>
        <f t="shared" si="2"/>
        <v>54</v>
      </c>
    </row>
    <row r="57" spans="1:29" x14ac:dyDescent="0.2">
      <c r="A57" s="2" t="s">
        <v>359</v>
      </c>
      <c r="B57" s="2" t="s">
        <v>19</v>
      </c>
      <c r="C57" s="27">
        <v>1</v>
      </c>
      <c r="D57" s="2" t="s">
        <v>20</v>
      </c>
      <c r="E57" s="2" t="str">
        <f>VLOOKUP(D57,[1]Comunas!$A:$E,5,0)</f>
        <v>Cauca</v>
      </c>
      <c r="F57" s="7" t="str">
        <f t="shared" si="1"/>
        <v>CaucaPOPAYAN</v>
      </c>
      <c r="G57" s="2" t="str">
        <f>VLOOKUP(F57,'[2]CLUSTER_MUNICIPIOS tarifas'!$D:$E,2,0)</f>
        <v>Moderado</v>
      </c>
      <c r="H57" s="2">
        <f>VLOOKUP(F57,'[3]CLUSTER_MUNICIPIOS tarifas'!$D:$F,3,0)</f>
        <v>19001</v>
      </c>
      <c r="I57" s="2" t="s">
        <v>78</v>
      </c>
      <c r="J57" s="18">
        <v>45323</v>
      </c>
      <c r="K57" s="8" t="s">
        <v>22</v>
      </c>
      <c r="L57" s="8" t="s">
        <v>23</v>
      </c>
      <c r="M57" s="5"/>
      <c r="N57" s="2">
        <v>23</v>
      </c>
      <c r="O57" s="2">
        <v>4</v>
      </c>
      <c r="P57" s="2"/>
      <c r="Q57" s="2">
        <v>4</v>
      </c>
      <c r="R57" s="2">
        <v>28</v>
      </c>
      <c r="S57" s="2"/>
      <c r="T57" s="2">
        <v>1</v>
      </c>
      <c r="U57" s="2"/>
      <c r="V57" s="2"/>
      <c r="W57" s="2"/>
      <c r="X57" s="2"/>
      <c r="Y57" s="2"/>
      <c r="Z57" s="2"/>
      <c r="AA57" s="2"/>
      <c r="AB57" s="2"/>
      <c r="AC57" s="2">
        <f t="shared" si="2"/>
        <v>60</v>
      </c>
    </row>
    <row r="58" spans="1:29" x14ac:dyDescent="0.2">
      <c r="A58" s="2" t="s">
        <v>359</v>
      </c>
      <c r="B58" s="2" t="s">
        <v>19</v>
      </c>
      <c r="C58" s="27">
        <v>1</v>
      </c>
      <c r="D58" s="2" t="s">
        <v>20</v>
      </c>
      <c r="E58" s="2" t="str">
        <f>VLOOKUP(D58,[1]Comunas!$A:$E,5,0)</f>
        <v>Cauca</v>
      </c>
      <c r="F58" s="7" t="str">
        <f t="shared" si="1"/>
        <v>CaucaPOPAYAN</v>
      </c>
      <c r="G58" s="2" t="str">
        <f>VLOOKUP(F58,'[2]CLUSTER_MUNICIPIOS tarifas'!$D:$E,2,0)</f>
        <v>Moderado</v>
      </c>
      <c r="H58" s="2">
        <f>VLOOKUP(F58,'[3]CLUSTER_MUNICIPIOS tarifas'!$D:$F,3,0)</f>
        <v>19001</v>
      </c>
      <c r="I58" s="2" t="s">
        <v>79</v>
      </c>
      <c r="J58" s="18">
        <v>45323</v>
      </c>
      <c r="K58" s="8" t="s">
        <v>22</v>
      </c>
      <c r="L58" s="8" t="s">
        <v>23</v>
      </c>
      <c r="M58" s="5"/>
      <c r="N58" s="2">
        <v>31</v>
      </c>
      <c r="O58" s="2">
        <v>13</v>
      </c>
      <c r="P58" s="2">
        <v>2</v>
      </c>
      <c r="Q58" s="2">
        <v>3</v>
      </c>
      <c r="R58" s="2">
        <v>10</v>
      </c>
      <c r="S58" s="2"/>
      <c r="T58" s="2">
        <v>4</v>
      </c>
      <c r="U58" s="2"/>
      <c r="V58" s="2"/>
      <c r="W58" s="2"/>
      <c r="X58" s="2"/>
      <c r="Y58" s="2"/>
      <c r="Z58" s="2"/>
      <c r="AA58" s="2"/>
      <c r="AB58" s="2"/>
      <c r="AC58" s="2">
        <f t="shared" si="2"/>
        <v>63</v>
      </c>
    </row>
    <row r="59" spans="1:29" x14ac:dyDescent="0.2">
      <c r="A59" s="2" t="s">
        <v>359</v>
      </c>
      <c r="B59" s="2" t="s">
        <v>19</v>
      </c>
      <c r="C59" s="27">
        <v>1</v>
      </c>
      <c r="D59" s="2" t="s">
        <v>20</v>
      </c>
      <c r="E59" s="2" t="str">
        <f>VLOOKUP(D59,[1]Comunas!$A:$E,5,0)</f>
        <v>Cauca</v>
      </c>
      <c r="F59" s="7" t="str">
        <f t="shared" si="1"/>
        <v>CaucaPOPAYAN</v>
      </c>
      <c r="G59" s="2" t="str">
        <f>VLOOKUP(F59,'[2]CLUSTER_MUNICIPIOS tarifas'!$D:$E,2,0)</f>
        <v>Moderado</v>
      </c>
      <c r="H59" s="2">
        <f>VLOOKUP(F59,'[3]CLUSTER_MUNICIPIOS tarifas'!$D:$F,3,0)</f>
        <v>19001</v>
      </c>
      <c r="I59" s="2" t="s">
        <v>80</v>
      </c>
      <c r="J59" s="18">
        <v>45323</v>
      </c>
      <c r="K59" s="8" t="s">
        <v>22</v>
      </c>
      <c r="L59" s="8" t="s">
        <v>23</v>
      </c>
      <c r="M59" s="5"/>
      <c r="N59" s="2">
        <v>15</v>
      </c>
      <c r="O59" s="2">
        <v>15</v>
      </c>
      <c r="P59" s="2">
        <v>1</v>
      </c>
      <c r="Q59" s="2">
        <v>8</v>
      </c>
      <c r="R59" s="2">
        <v>2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>
        <f t="shared" si="2"/>
        <v>41</v>
      </c>
    </row>
    <row r="60" spans="1:29" x14ac:dyDescent="0.2">
      <c r="A60" s="2" t="s">
        <v>359</v>
      </c>
      <c r="B60" s="2" t="s">
        <v>19</v>
      </c>
      <c r="C60" s="27">
        <v>1</v>
      </c>
      <c r="D60" s="2" t="s">
        <v>20</v>
      </c>
      <c r="E60" s="2" t="str">
        <f>VLOOKUP(D60,[1]Comunas!$A:$E,5,0)</f>
        <v>Cauca</v>
      </c>
      <c r="F60" s="7" t="str">
        <f t="shared" si="1"/>
        <v>CaucaPOPAYAN</v>
      </c>
      <c r="G60" s="2" t="str">
        <f>VLOOKUP(F60,'[2]CLUSTER_MUNICIPIOS tarifas'!$D:$E,2,0)</f>
        <v>Moderado</v>
      </c>
      <c r="H60" s="2">
        <f>VLOOKUP(F60,'[3]CLUSTER_MUNICIPIOS tarifas'!$D:$F,3,0)</f>
        <v>19001</v>
      </c>
      <c r="I60" s="2" t="s">
        <v>81</v>
      </c>
      <c r="J60" s="18">
        <v>45323</v>
      </c>
      <c r="K60" s="8" t="s">
        <v>22</v>
      </c>
      <c r="L60" s="8" t="s">
        <v>23</v>
      </c>
      <c r="M60" s="5"/>
      <c r="N60" s="2">
        <v>14</v>
      </c>
      <c r="O60" s="2"/>
      <c r="P60" s="2"/>
      <c r="Q60" s="2">
        <v>5</v>
      </c>
      <c r="R60" s="2">
        <v>9</v>
      </c>
      <c r="S60" s="2"/>
      <c r="T60" s="2">
        <v>10</v>
      </c>
      <c r="U60" s="2"/>
      <c r="V60" s="2"/>
      <c r="W60" s="2"/>
      <c r="X60" s="2"/>
      <c r="Y60" s="2"/>
      <c r="Z60" s="2"/>
      <c r="AA60" s="2"/>
      <c r="AB60" s="2"/>
      <c r="AC60" s="2">
        <f t="shared" si="2"/>
        <v>38</v>
      </c>
    </row>
    <row r="61" spans="1:29" x14ac:dyDescent="0.2">
      <c r="A61" s="2" t="s">
        <v>359</v>
      </c>
      <c r="B61" s="2" t="s">
        <v>19</v>
      </c>
      <c r="C61" s="27">
        <v>1</v>
      </c>
      <c r="D61" s="2" t="s">
        <v>20</v>
      </c>
      <c r="E61" s="2" t="str">
        <f>VLOOKUP(D61,[1]Comunas!$A:$E,5,0)</f>
        <v>Cauca</v>
      </c>
      <c r="F61" s="7" t="str">
        <f t="shared" si="1"/>
        <v>CaucaPOPAYAN</v>
      </c>
      <c r="G61" s="2" t="str">
        <f>VLOOKUP(F61,'[2]CLUSTER_MUNICIPIOS tarifas'!$D:$E,2,0)</f>
        <v>Moderado</v>
      </c>
      <c r="H61" s="2">
        <f>VLOOKUP(F61,'[3]CLUSTER_MUNICIPIOS tarifas'!$D:$F,3,0)</f>
        <v>19001</v>
      </c>
      <c r="I61" s="2" t="s">
        <v>82</v>
      </c>
      <c r="J61" s="18">
        <v>45323</v>
      </c>
      <c r="K61" s="8" t="s">
        <v>22</v>
      </c>
      <c r="L61" s="8" t="s">
        <v>23</v>
      </c>
      <c r="M61" s="5"/>
      <c r="N61" s="2">
        <v>26</v>
      </c>
      <c r="O61" s="2">
        <v>3</v>
      </c>
      <c r="P61" s="2"/>
      <c r="Q61" s="2">
        <v>1</v>
      </c>
      <c r="R61" s="2">
        <v>16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>
        <f t="shared" si="2"/>
        <v>46</v>
      </c>
    </row>
    <row r="62" spans="1:29" x14ac:dyDescent="0.2">
      <c r="A62" s="2" t="s">
        <v>359</v>
      </c>
      <c r="B62" s="2" t="s">
        <v>19</v>
      </c>
      <c r="C62" s="27">
        <v>1</v>
      </c>
      <c r="D62" s="2" t="s">
        <v>20</v>
      </c>
      <c r="E62" s="2" t="str">
        <f>VLOOKUP(D62,[1]Comunas!$A:$E,5,0)</f>
        <v>Cauca</v>
      </c>
      <c r="F62" s="7" t="str">
        <f t="shared" si="1"/>
        <v>CaucaPOPAYAN</v>
      </c>
      <c r="G62" s="2" t="str">
        <f>VLOOKUP(F62,'[2]CLUSTER_MUNICIPIOS tarifas'!$D:$E,2,0)</f>
        <v>Moderado</v>
      </c>
      <c r="H62" s="2">
        <f>VLOOKUP(F62,'[3]CLUSTER_MUNICIPIOS tarifas'!$D:$F,3,0)</f>
        <v>19001</v>
      </c>
      <c r="I62" s="2" t="s">
        <v>83</v>
      </c>
      <c r="J62" s="18">
        <v>45323</v>
      </c>
      <c r="K62" s="8" t="s">
        <v>22</v>
      </c>
      <c r="L62" s="8" t="s">
        <v>23</v>
      </c>
      <c r="M62" s="5"/>
      <c r="N62" s="2"/>
      <c r="O62" s="2">
        <v>1</v>
      </c>
      <c r="P62" s="2"/>
      <c r="Q62" s="2"/>
      <c r="R62" s="2">
        <v>3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>
        <f t="shared" si="2"/>
        <v>4</v>
      </c>
    </row>
    <row r="63" spans="1:29" x14ac:dyDescent="0.2">
      <c r="A63" s="2" t="s">
        <v>359</v>
      </c>
      <c r="B63" s="2" t="s">
        <v>19</v>
      </c>
      <c r="C63" s="27">
        <v>1</v>
      </c>
      <c r="D63" s="2" t="s">
        <v>20</v>
      </c>
      <c r="E63" s="2" t="str">
        <f>VLOOKUP(D63,[1]Comunas!$A:$E,5,0)</f>
        <v>Cauca</v>
      </c>
      <c r="F63" s="7" t="str">
        <f t="shared" si="1"/>
        <v>CaucaPOPAYAN</v>
      </c>
      <c r="G63" s="2" t="str">
        <f>VLOOKUP(F63,'[2]CLUSTER_MUNICIPIOS tarifas'!$D:$E,2,0)</f>
        <v>Moderado</v>
      </c>
      <c r="H63" s="2">
        <f>VLOOKUP(F63,'[3]CLUSTER_MUNICIPIOS tarifas'!$D:$F,3,0)</f>
        <v>19001</v>
      </c>
      <c r="I63" s="2" t="s">
        <v>84</v>
      </c>
      <c r="J63" s="18">
        <v>45323</v>
      </c>
      <c r="K63" s="8" t="s">
        <v>22</v>
      </c>
      <c r="L63" s="8" t="s">
        <v>23</v>
      </c>
      <c r="M63" s="5"/>
      <c r="N63" s="2">
        <v>1</v>
      </c>
      <c r="O63" s="2"/>
      <c r="P63" s="2"/>
      <c r="Q63" s="2">
        <v>1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>
        <f t="shared" si="2"/>
        <v>2</v>
      </c>
    </row>
    <row r="64" spans="1:29" x14ac:dyDescent="0.2">
      <c r="A64" s="2" t="s">
        <v>359</v>
      </c>
      <c r="B64" s="2" t="s">
        <v>19</v>
      </c>
      <c r="C64" s="27">
        <v>1</v>
      </c>
      <c r="D64" s="2" t="s">
        <v>20</v>
      </c>
      <c r="E64" s="2" t="str">
        <f>VLOOKUP(D64,[1]Comunas!$A:$E,5,0)</f>
        <v>Cauca</v>
      </c>
      <c r="F64" s="7" t="str">
        <f t="shared" si="1"/>
        <v>CaucaPOPAYAN</v>
      </c>
      <c r="G64" s="2" t="str">
        <f>VLOOKUP(F64,'[2]CLUSTER_MUNICIPIOS tarifas'!$D:$E,2,0)</f>
        <v>Moderado</v>
      </c>
      <c r="H64" s="2">
        <f>VLOOKUP(F64,'[3]CLUSTER_MUNICIPIOS tarifas'!$D:$F,3,0)</f>
        <v>19001</v>
      </c>
      <c r="I64" s="2" t="s">
        <v>85</v>
      </c>
      <c r="J64" s="18">
        <v>45323</v>
      </c>
      <c r="K64" s="8" t="s">
        <v>22</v>
      </c>
      <c r="L64" s="8" t="s">
        <v>23</v>
      </c>
      <c r="M64" s="5"/>
      <c r="N64" s="2"/>
      <c r="O64" s="2"/>
      <c r="P64" s="2"/>
      <c r="Q64" s="2"/>
      <c r="R64" s="2">
        <v>3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>
        <f t="shared" si="2"/>
        <v>3</v>
      </c>
    </row>
    <row r="65" spans="1:29" x14ac:dyDescent="0.2">
      <c r="A65" s="2" t="s">
        <v>359</v>
      </c>
      <c r="B65" s="2" t="s">
        <v>19</v>
      </c>
      <c r="C65" s="27">
        <v>1</v>
      </c>
      <c r="D65" s="2" t="s">
        <v>20</v>
      </c>
      <c r="E65" s="2" t="str">
        <f>VLOOKUP(D65,[1]Comunas!$A:$E,5,0)</f>
        <v>Cauca</v>
      </c>
      <c r="F65" s="7" t="str">
        <f t="shared" si="1"/>
        <v>CaucaPOPAYAN</v>
      </c>
      <c r="G65" s="2" t="str">
        <f>VLOOKUP(F65,'[2]CLUSTER_MUNICIPIOS tarifas'!$D:$E,2,0)</f>
        <v>Moderado</v>
      </c>
      <c r="H65" s="2">
        <f>VLOOKUP(F65,'[3]CLUSTER_MUNICIPIOS tarifas'!$D:$F,3,0)</f>
        <v>19001</v>
      </c>
      <c r="I65" s="2" t="s">
        <v>86</v>
      </c>
      <c r="J65" s="18">
        <v>45323</v>
      </c>
      <c r="K65" s="8" t="s">
        <v>22</v>
      </c>
      <c r="L65" s="8" t="s">
        <v>23</v>
      </c>
      <c r="M65" s="5"/>
      <c r="N65" s="2">
        <v>18</v>
      </c>
      <c r="O65" s="2">
        <v>1</v>
      </c>
      <c r="P65" s="2"/>
      <c r="Q65" s="2">
        <v>1</v>
      </c>
      <c r="R65" s="2">
        <v>5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>
        <f t="shared" si="2"/>
        <v>25</v>
      </c>
    </row>
    <row r="66" spans="1:29" x14ac:dyDescent="0.2">
      <c r="A66" s="2" t="s">
        <v>359</v>
      </c>
      <c r="B66" s="2" t="s">
        <v>19</v>
      </c>
      <c r="C66" s="27">
        <v>1</v>
      </c>
      <c r="D66" s="2" t="s">
        <v>20</v>
      </c>
      <c r="E66" s="2" t="str">
        <f>VLOOKUP(D66,[1]Comunas!$A:$E,5,0)</f>
        <v>Cauca</v>
      </c>
      <c r="F66" s="7" t="str">
        <f t="shared" ref="F66:F129" si="3">CONCATENATE(E66,D66)</f>
        <v>CaucaPOPAYAN</v>
      </c>
      <c r="G66" s="2" t="str">
        <f>VLOOKUP(F66,'[2]CLUSTER_MUNICIPIOS tarifas'!$D:$E,2,0)</f>
        <v>Moderado</v>
      </c>
      <c r="H66" s="2">
        <f>VLOOKUP(F66,'[3]CLUSTER_MUNICIPIOS tarifas'!$D:$F,3,0)</f>
        <v>19001</v>
      </c>
      <c r="I66" s="2" t="s">
        <v>87</v>
      </c>
      <c r="J66" s="18">
        <v>45323</v>
      </c>
      <c r="K66" s="8" t="s">
        <v>22</v>
      </c>
      <c r="L66" s="8" t="s">
        <v>23</v>
      </c>
      <c r="M66" s="5"/>
      <c r="N66" s="2">
        <v>8</v>
      </c>
      <c r="O66" s="2">
        <v>3</v>
      </c>
      <c r="P66" s="2"/>
      <c r="Q66" s="2">
        <v>7</v>
      </c>
      <c r="R66" s="2">
        <v>2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>
        <f t="shared" si="2"/>
        <v>20</v>
      </c>
    </row>
    <row r="67" spans="1:29" x14ac:dyDescent="0.2">
      <c r="A67" s="2" t="s">
        <v>359</v>
      </c>
      <c r="B67" s="2" t="s">
        <v>19</v>
      </c>
      <c r="C67" s="27">
        <v>1</v>
      </c>
      <c r="D67" s="2" t="s">
        <v>20</v>
      </c>
      <c r="E67" s="2" t="str">
        <f>VLOOKUP(D67,[1]Comunas!$A:$E,5,0)</f>
        <v>Cauca</v>
      </c>
      <c r="F67" s="7" t="str">
        <f t="shared" si="3"/>
        <v>CaucaPOPAYAN</v>
      </c>
      <c r="G67" s="2" t="str">
        <f>VLOOKUP(F67,'[2]CLUSTER_MUNICIPIOS tarifas'!$D:$E,2,0)</f>
        <v>Moderado</v>
      </c>
      <c r="H67" s="2">
        <f>VLOOKUP(F67,'[3]CLUSTER_MUNICIPIOS tarifas'!$D:$F,3,0)</f>
        <v>19001</v>
      </c>
      <c r="I67" s="2" t="s">
        <v>88</v>
      </c>
      <c r="J67" s="18">
        <v>45323</v>
      </c>
      <c r="K67" s="8" t="s">
        <v>22</v>
      </c>
      <c r="L67" s="8" t="s">
        <v>23</v>
      </c>
      <c r="M67" s="5"/>
      <c r="N67" s="2"/>
      <c r="O67" s="2"/>
      <c r="P67" s="2"/>
      <c r="Q67" s="2"/>
      <c r="R67" s="2">
        <v>2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>
        <f t="shared" ref="AC67:AC130" si="4">SUM(N67:Z67)</f>
        <v>2</v>
      </c>
    </row>
    <row r="68" spans="1:29" x14ac:dyDescent="0.2">
      <c r="A68" s="2" t="s">
        <v>359</v>
      </c>
      <c r="B68" s="2" t="s">
        <v>19</v>
      </c>
      <c r="C68" s="27">
        <v>1</v>
      </c>
      <c r="D68" s="2" t="s">
        <v>20</v>
      </c>
      <c r="E68" s="2" t="str">
        <f>VLOOKUP(D68,[1]Comunas!$A:$E,5,0)</f>
        <v>Cauca</v>
      </c>
      <c r="F68" s="7" t="str">
        <f t="shared" si="3"/>
        <v>CaucaPOPAYAN</v>
      </c>
      <c r="G68" s="2" t="str">
        <f>VLOOKUP(F68,'[2]CLUSTER_MUNICIPIOS tarifas'!$D:$E,2,0)</f>
        <v>Moderado</v>
      </c>
      <c r="H68" s="2">
        <f>VLOOKUP(F68,'[3]CLUSTER_MUNICIPIOS tarifas'!$D:$F,3,0)</f>
        <v>19001</v>
      </c>
      <c r="I68" s="2" t="s">
        <v>89</v>
      </c>
      <c r="J68" s="18">
        <v>45323</v>
      </c>
      <c r="K68" s="8" t="s">
        <v>22</v>
      </c>
      <c r="L68" s="8" t="s">
        <v>23</v>
      </c>
      <c r="M68" s="5"/>
      <c r="N68" s="2"/>
      <c r="O68" s="2"/>
      <c r="P68" s="2"/>
      <c r="Q68" s="2">
        <v>1</v>
      </c>
      <c r="R68" s="2">
        <v>3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>
        <f t="shared" si="4"/>
        <v>4</v>
      </c>
    </row>
    <row r="69" spans="1:29" x14ac:dyDescent="0.2">
      <c r="A69" s="2" t="s">
        <v>359</v>
      </c>
      <c r="B69" s="2" t="s">
        <v>19</v>
      </c>
      <c r="C69" s="27">
        <v>1</v>
      </c>
      <c r="D69" s="2" t="s">
        <v>20</v>
      </c>
      <c r="E69" s="2" t="str">
        <f>VLOOKUP(D69,[1]Comunas!$A:$E,5,0)</f>
        <v>Cauca</v>
      </c>
      <c r="F69" s="7" t="str">
        <f t="shared" si="3"/>
        <v>CaucaPOPAYAN</v>
      </c>
      <c r="G69" s="2" t="str">
        <f>VLOOKUP(F69,'[2]CLUSTER_MUNICIPIOS tarifas'!$D:$E,2,0)</f>
        <v>Moderado</v>
      </c>
      <c r="H69" s="2">
        <f>VLOOKUP(F69,'[3]CLUSTER_MUNICIPIOS tarifas'!$D:$F,3,0)</f>
        <v>19001</v>
      </c>
      <c r="I69" s="2" t="s">
        <v>90</v>
      </c>
      <c r="J69" s="18">
        <v>45323</v>
      </c>
      <c r="K69" s="8" t="s">
        <v>22</v>
      </c>
      <c r="L69" s="8" t="s">
        <v>23</v>
      </c>
      <c r="M69" s="5"/>
      <c r="N69" s="2">
        <v>36</v>
      </c>
      <c r="O69" s="2">
        <v>2</v>
      </c>
      <c r="P69" s="2"/>
      <c r="Q69" s="2">
        <v>6</v>
      </c>
      <c r="R69" s="2">
        <v>11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>
        <f t="shared" si="4"/>
        <v>55</v>
      </c>
    </row>
    <row r="70" spans="1:29" x14ac:dyDescent="0.2">
      <c r="A70" s="2" t="s">
        <v>359</v>
      </c>
      <c r="B70" s="2" t="s">
        <v>19</v>
      </c>
      <c r="C70" s="27">
        <v>1</v>
      </c>
      <c r="D70" s="2" t="s">
        <v>20</v>
      </c>
      <c r="E70" s="2" t="str">
        <f>VLOOKUP(D70,[1]Comunas!$A:$E,5,0)</f>
        <v>Cauca</v>
      </c>
      <c r="F70" s="7" t="str">
        <f t="shared" si="3"/>
        <v>CaucaPOPAYAN</v>
      </c>
      <c r="G70" s="2" t="str">
        <f>VLOOKUP(F70,'[2]CLUSTER_MUNICIPIOS tarifas'!$D:$E,2,0)</f>
        <v>Moderado</v>
      </c>
      <c r="H70" s="2">
        <f>VLOOKUP(F70,'[3]CLUSTER_MUNICIPIOS tarifas'!$D:$F,3,0)</f>
        <v>19001</v>
      </c>
      <c r="I70" s="2" t="s">
        <v>91</v>
      </c>
      <c r="J70" s="18">
        <v>45323</v>
      </c>
      <c r="K70" s="8" t="s">
        <v>22</v>
      </c>
      <c r="L70" s="8" t="s">
        <v>23</v>
      </c>
      <c r="M70" s="5"/>
      <c r="N70" s="2"/>
      <c r="O70" s="2"/>
      <c r="P70" s="2"/>
      <c r="Q70" s="2"/>
      <c r="R70" s="2">
        <v>2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>
        <f t="shared" si="4"/>
        <v>2</v>
      </c>
    </row>
    <row r="71" spans="1:29" x14ac:dyDescent="0.2">
      <c r="A71" s="2" t="s">
        <v>359</v>
      </c>
      <c r="B71" s="2" t="s">
        <v>19</v>
      </c>
      <c r="C71" s="27">
        <v>1</v>
      </c>
      <c r="D71" s="2" t="s">
        <v>20</v>
      </c>
      <c r="E71" s="2" t="str">
        <f>VLOOKUP(D71,[1]Comunas!$A:$E,5,0)</f>
        <v>Cauca</v>
      </c>
      <c r="F71" s="7" t="str">
        <f t="shared" si="3"/>
        <v>CaucaPOPAYAN</v>
      </c>
      <c r="G71" s="2" t="str">
        <f>VLOOKUP(F71,'[2]CLUSTER_MUNICIPIOS tarifas'!$D:$E,2,0)</f>
        <v>Moderado</v>
      </c>
      <c r="H71" s="2">
        <f>VLOOKUP(F71,'[3]CLUSTER_MUNICIPIOS tarifas'!$D:$F,3,0)</f>
        <v>19001</v>
      </c>
      <c r="I71" s="2" t="s">
        <v>92</v>
      </c>
      <c r="J71" s="18">
        <v>45323</v>
      </c>
      <c r="K71" s="8" t="s">
        <v>22</v>
      </c>
      <c r="L71" s="8" t="s">
        <v>23</v>
      </c>
      <c r="M71" s="5"/>
      <c r="N71" s="2"/>
      <c r="O71" s="2"/>
      <c r="P71" s="2"/>
      <c r="Q71" s="2">
        <v>1</v>
      </c>
      <c r="R71" s="2">
        <v>1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>
        <f t="shared" si="4"/>
        <v>2</v>
      </c>
    </row>
    <row r="72" spans="1:29" x14ac:dyDescent="0.2">
      <c r="A72" s="2" t="s">
        <v>359</v>
      </c>
      <c r="B72" s="2" t="s">
        <v>19</v>
      </c>
      <c r="C72" s="27">
        <v>1</v>
      </c>
      <c r="D72" s="2" t="s">
        <v>20</v>
      </c>
      <c r="E72" s="2" t="str">
        <f>VLOOKUP(D72,[1]Comunas!$A:$E,5,0)</f>
        <v>Cauca</v>
      </c>
      <c r="F72" s="7" t="str">
        <f t="shared" si="3"/>
        <v>CaucaPOPAYAN</v>
      </c>
      <c r="G72" s="2" t="str">
        <f>VLOOKUP(F72,'[2]CLUSTER_MUNICIPIOS tarifas'!$D:$E,2,0)</f>
        <v>Moderado</v>
      </c>
      <c r="H72" s="2">
        <f>VLOOKUP(F72,'[3]CLUSTER_MUNICIPIOS tarifas'!$D:$F,3,0)</f>
        <v>19001</v>
      </c>
      <c r="I72" s="2" t="s">
        <v>93</v>
      </c>
      <c r="J72" s="18">
        <v>45323</v>
      </c>
      <c r="K72" s="8" t="s">
        <v>22</v>
      </c>
      <c r="L72" s="8" t="s">
        <v>23</v>
      </c>
      <c r="M72" s="5"/>
      <c r="N72" s="2">
        <v>5</v>
      </c>
      <c r="O72" s="2">
        <v>1</v>
      </c>
      <c r="P72" s="2"/>
      <c r="Q72" s="2">
        <v>4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>
        <f t="shared" si="4"/>
        <v>10</v>
      </c>
    </row>
    <row r="73" spans="1:29" x14ac:dyDescent="0.2">
      <c r="A73" s="2" t="s">
        <v>359</v>
      </c>
      <c r="B73" s="2" t="s">
        <v>19</v>
      </c>
      <c r="C73" s="27">
        <v>1</v>
      </c>
      <c r="D73" s="2" t="s">
        <v>20</v>
      </c>
      <c r="E73" s="2" t="str">
        <f>VLOOKUP(D73,[1]Comunas!$A:$E,5,0)</f>
        <v>Cauca</v>
      </c>
      <c r="F73" s="7" t="str">
        <f t="shared" si="3"/>
        <v>CaucaPOPAYAN</v>
      </c>
      <c r="G73" s="2" t="str">
        <f>VLOOKUP(F73,'[2]CLUSTER_MUNICIPIOS tarifas'!$D:$E,2,0)</f>
        <v>Moderado</v>
      </c>
      <c r="H73" s="2">
        <f>VLOOKUP(F73,'[3]CLUSTER_MUNICIPIOS tarifas'!$D:$F,3,0)</f>
        <v>19001</v>
      </c>
      <c r="I73" s="2" t="s">
        <v>94</v>
      </c>
      <c r="J73" s="18">
        <v>45323</v>
      </c>
      <c r="K73" s="8" t="s">
        <v>22</v>
      </c>
      <c r="L73" s="8" t="s">
        <v>23</v>
      </c>
      <c r="M73" s="5"/>
      <c r="N73" s="2">
        <v>11</v>
      </c>
      <c r="O73" s="2">
        <v>4</v>
      </c>
      <c r="P73" s="2"/>
      <c r="Q73" s="2"/>
      <c r="R73" s="2">
        <v>5</v>
      </c>
      <c r="S73" s="2"/>
      <c r="T73" s="2">
        <v>2</v>
      </c>
      <c r="U73" s="2"/>
      <c r="V73" s="2"/>
      <c r="W73" s="2"/>
      <c r="X73" s="2"/>
      <c r="Y73" s="2"/>
      <c r="Z73" s="2"/>
      <c r="AA73" s="2"/>
      <c r="AB73" s="2"/>
      <c r="AC73" s="2">
        <f t="shared" si="4"/>
        <v>22</v>
      </c>
    </row>
    <row r="74" spans="1:29" x14ac:dyDescent="0.2">
      <c r="A74" s="2" t="s">
        <v>359</v>
      </c>
      <c r="B74" s="2" t="s">
        <v>19</v>
      </c>
      <c r="C74" s="27">
        <v>1</v>
      </c>
      <c r="D74" s="2" t="s">
        <v>20</v>
      </c>
      <c r="E74" s="2" t="str">
        <f>VLOOKUP(D74,[1]Comunas!$A:$E,5,0)</f>
        <v>Cauca</v>
      </c>
      <c r="F74" s="7" t="str">
        <f t="shared" si="3"/>
        <v>CaucaPOPAYAN</v>
      </c>
      <c r="G74" s="2" t="str">
        <f>VLOOKUP(F74,'[2]CLUSTER_MUNICIPIOS tarifas'!$D:$E,2,0)</f>
        <v>Moderado</v>
      </c>
      <c r="H74" s="2">
        <f>VLOOKUP(F74,'[3]CLUSTER_MUNICIPIOS tarifas'!$D:$F,3,0)</f>
        <v>19001</v>
      </c>
      <c r="I74" s="2" t="s">
        <v>95</v>
      </c>
      <c r="J74" s="18">
        <v>45323</v>
      </c>
      <c r="K74" s="8" t="s">
        <v>22</v>
      </c>
      <c r="L74" s="8" t="s">
        <v>23</v>
      </c>
      <c r="M74" s="5"/>
      <c r="N74" s="2">
        <v>14</v>
      </c>
      <c r="O74" s="2">
        <v>2</v>
      </c>
      <c r="P74" s="2"/>
      <c r="Q74" s="2">
        <v>3</v>
      </c>
      <c r="R74" s="2">
        <v>2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>
        <f t="shared" si="4"/>
        <v>21</v>
      </c>
    </row>
    <row r="75" spans="1:29" x14ac:dyDescent="0.2">
      <c r="A75" s="2" t="s">
        <v>359</v>
      </c>
      <c r="B75" s="2" t="s">
        <v>19</v>
      </c>
      <c r="C75" s="27">
        <v>1</v>
      </c>
      <c r="D75" s="2" t="s">
        <v>20</v>
      </c>
      <c r="E75" s="2" t="str">
        <f>VLOOKUP(D75,[1]Comunas!$A:$E,5,0)</f>
        <v>Cauca</v>
      </c>
      <c r="F75" s="7" t="str">
        <f t="shared" si="3"/>
        <v>CaucaPOPAYAN</v>
      </c>
      <c r="G75" s="2" t="str">
        <f>VLOOKUP(F75,'[2]CLUSTER_MUNICIPIOS tarifas'!$D:$E,2,0)</f>
        <v>Moderado</v>
      </c>
      <c r="H75" s="2">
        <f>VLOOKUP(F75,'[3]CLUSTER_MUNICIPIOS tarifas'!$D:$F,3,0)</f>
        <v>19001</v>
      </c>
      <c r="I75" s="2" t="s">
        <v>96</v>
      </c>
      <c r="J75" s="18">
        <v>45323</v>
      </c>
      <c r="K75" s="8" t="s">
        <v>22</v>
      </c>
      <c r="L75" s="8" t="s">
        <v>23</v>
      </c>
      <c r="M75" s="5"/>
      <c r="N75" s="2">
        <v>12</v>
      </c>
      <c r="O75" s="2">
        <v>5</v>
      </c>
      <c r="P75" s="2"/>
      <c r="Q75" s="2">
        <v>17</v>
      </c>
      <c r="R75" s="2">
        <v>43</v>
      </c>
      <c r="S75" s="2"/>
      <c r="T75" s="2">
        <v>9</v>
      </c>
      <c r="U75" s="2"/>
      <c r="V75" s="2"/>
      <c r="W75" s="2"/>
      <c r="X75" s="2"/>
      <c r="Y75" s="2"/>
      <c r="Z75" s="2"/>
      <c r="AA75" s="2"/>
      <c r="AB75" s="2"/>
      <c r="AC75" s="2">
        <f t="shared" si="4"/>
        <v>86</v>
      </c>
    </row>
    <row r="76" spans="1:29" x14ac:dyDescent="0.2">
      <c r="A76" s="2" t="s">
        <v>359</v>
      </c>
      <c r="B76" s="2" t="s">
        <v>19</v>
      </c>
      <c r="C76" s="27">
        <v>1</v>
      </c>
      <c r="D76" s="2" t="s">
        <v>20</v>
      </c>
      <c r="E76" s="2" t="str">
        <f>VLOOKUP(D76,[1]Comunas!$A:$E,5,0)</f>
        <v>Cauca</v>
      </c>
      <c r="F76" s="7" t="str">
        <f t="shared" si="3"/>
        <v>CaucaPOPAYAN</v>
      </c>
      <c r="G76" s="2" t="str">
        <f>VLOOKUP(F76,'[2]CLUSTER_MUNICIPIOS tarifas'!$D:$E,2,0)</f>
        <v>Moderado</v>
      </c>
      <c r="H76" s="2">
        <f>VLOOKUP(F76,'[3]CLUSTER_MUNICIPIOS tarifas'!$D:$F,3,0)</f>
        <v>19001</v>
      </c>
      <c r="I76" s="2" t="s">
        <v>97</v>
      </c>
      <c r="J76" s="18">
        <v>45323</v>
      </c>
      <c r="K76" s="8" t="s">
        <v>22</v>
      </c>
      <c r="L76" s="8" t="s">
        <v>23</v>
      </c>
      <c r="M76" s="5"/>
      <c r="N76" s="2">
        <v>22</v>
      </c>
      <c r="O76" s="2"/>
      <c r="P76" s="2"/>
      <c r="Q76" s="2">
        <v>9</v>
      </c>
      <c r="R76" s="2">
        <v>4</v>
      </c>
      <c r="S76" s="2"/>
      <c r="T76" s="2"/>
      <c r="U76" s="2"/>
      <c r="V76" s="2"/>
      <c r="W76" s="2"/>
      <c r="X76" s="2"/>
      <c r="Y76" s="2">
        <v>1</v>
      </c>
      <c r="Z76" s="2"/>
      <c r="AA76" s="2"/>
      <c r="AB76" s="2"/>
      <c r="AC76" s="2">
        <f t="shared" si="4"/>
        <v>36</v>
      </c>
    </row>
    <row r="77" spans="1:29" x14ac:dyDescent="0.2">
      <c r="A77" s="2" t="s">
        <v>359</v>
      </c>
      <c r="B77" s="2" t="s">
        <v>19</v>
      </c>
      <c r="C77" s="27">
        <v>1</v>
      </c>
      <c r="D77" s="2" t="s">
        <v>20</v>
      </c>
      <c r="E77" s="2" t="str">
        <f>VLOOKUP(D77,[1]Comunas!$A:$E,5,0)</f>
        <v>Cauca</v>
      </c>
      <c r="F77" s="7" t="str">
        <f t="shared" si="3"/>
        <v>CaucaPOPAYAN</v>
      </c>
      <c r="G77" s="2" t="str">
        <f>VLOOKUP(F77,'[2]CLUSTER_MUNICIPIOS tarifas'!$D:$E,2,0)</f>
        <v>Moderado</v>
      </c>
      <c r="H77" s="2">
        <f>VLOOKUP(F77,'[3]CLUSTER_MUNICIPIOS tarifas'!$D:$F,3,0)</f>
        <v>19001</v>
      </c>
      <c r="I77" s="2" t="s">
        <v>98</v>
      </c>
      <c r="J77" s="18">
        <v>45323</v>
      </c>
      <c r="K77" s="8" t="s">
        <v>22</v>
      </c>
      <c r="L77" s="8" t="s">
        <v>23</v>
      </c>
      <c r="M77" s="5"/>
      <c r="N77" s="2">
        <v>6</v>
      </c>
      <c r="O77" s="2"/>
      <c r="P77" s="2"/>
      <c r="Q77" s="2">
        <v>2</v>
      </c>
      <c r="R77" s="2">
        <v>1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>
        <f t="shared" si="4"/>
        <v>9</v>
      </c>
    </row>
    <row r="78" spans="1:29" x14ac:dyDescent="0.2">
      <c r="A78" s="2" t="s">
        <v>359</v>
      </c>
      <c r="B78" s="2" t="s">
        <v>19</v>
      </c>
      <c r="C78" s="27">
        <v>1</v>
      </c>
      <c r="D78" s="2" t="s">
        <v>20</v>
      </c>
      <c r="E78" s="2" t="str">
        <f>VLOOKUP(D78,[1]Comunas!$A:$E,5,0)</f>
        <v>Cauca</v>
      </c>
      <c r="F78" s="7" t="str">
        <f t="shared" si="3"/>
        <v>CaucaPOPAYAN</v>
      </c>
      <c r="G78" s="2" t="str">
        <f>VLOOKUP(F78,'[2]CLUSTER_MUNICIPIOS tarifas'!$D:$E,2,0)</f>
        <v>Moderado</v>
      </c>
      <c r="H78" s="2">
        <f>VLOOKUP(F78,'[3]CLUSTER_MUNICIPIOS tarifas'!$D:$F,3,0)</f>
        <v>19001</v>
      </c>
      <c r="I78" s="2" t="s">
        <v>99</v>
      </c>
      <c r="J78" s="18">
        <v>45323</v>
      </c>
      <c r="K78" s="8" t="s">
        <v>22</v>
      </c>
      <c r="L78" s="8" t="s">
        <v>23</v>
      </c>
      <c r="M78" s="5"/>
      <c r="N78" s="2">
        <v>5</v>
      </c>
      <c r="O78" s="2"/>
      <c r="P78" s="2"/>
      <c r="Q78" s="2">
        <v>1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>
        <f t="shared" si="4"/>
        <v>6</v>
      </c>
    </row>
    <row r="79" spans="1:29" x14ac:dyDescent="0.2">
      <c r="A79" s="2" t="s">
        <v>359</v>
      </c>
      <c r="B79" s="2" t="s">
        <v>19</v>
      </c>
      <c r="C79" s="27">
        <v>1</v>
      </c>
      <c r="D79" s="2" t="s">
        <v>20</v>
      </c>
      <c r="E79" s="2" t="str">
        <f>VLOOKUP(D79,[1]Comunas!$A:$E,5,0)</f>
        <v>Cauca</v>
      </c>
      <c r="F79" s="7" t="str">
        <f t="shared" si="3"/>
        <v>CaucaPOPAYAN</v>
      </c>
      <c r="G79" s="2" t="str">
        <f>VLOOKUP(F79,'[2]CLUSTER_MUNICIPIOS tarifas'!$D:$E,2,0)</f>
        <v>Moderado</v>
      </c>
      <c r="H79" s="2">
        <f>VLOOKUP(F79,'[3]CLUSTER_MUNICIPIOS tarifas'!$D:$F,3,0)</f>
        <v>19001</v>
      </c>
      <c r="I79" s="2" t="s">
        <v>100</v>
      </c>
      <c r="J79" s="18">
        <v>45323</v>
      </c>
      <c r="K79" s="8" t="s">
        <v>22</v>
      </c>
      <c r="L79" s="8" t="s">
        <v>23</v>
      </c>
      <c r="M79" s="5"/>
      <c r="N79" s="2">
        <v>19</v>
      </c>
      <c r="O79" s="2"/>
      <c r="P79" s="2"/>
      <c r="Q79" s="2">
        <v>4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>
        <f t="shared" si="4"/>
        <v>23</v>
      </c>
    </row>
    <row r="80" spans="1:29" x14ac:dyDescent="0.2">
      <c r="A80" s="2" t="s">
        <v>359</v>
      </c>
      <c r="B80" s="2" t="s">
        <v>19</v>
      </c>
      <c r="C80" s="27">
        <v>1</v>
      </c>
      <c r="D80" s="2" t="s">
        <v>20</v>
      </c>
      <c r="E80" s="2" t="str">
        <f>VLOOKUP(D80,[1]Comunas!$A:$E,5,0)</f>
        <v>Cauca</v>
      </c>
      <c r="F80" s="7" t="str">
        <f t="shared" si="3"/>
        <v>CaucaPOPAYAN</v>
      </c>
      <c r="G80" s="2" t="str">
        <f>VLOOKUP(F80,'[2]CLUSTER_MUNICIPIOS tarifas'!$D:$E,2,0)</f>
        <v>Moderado</v>
      </c>
      <c r="H80" s="2">
        <f>VLOOKUP(F80,'[3]CLUSTER_MUNICIPIOS tarifas'!$D:$F,3,0)</f>
        <v>19001</v>
      </c>
      <c r="I80" s="2" t="s">
        <v>101</v>
      </c>
      <c r="J80" s="18">
        <v>45323</v>
      </c>
      <c r="K80" s="8" t="s">
        <v>22</v>
      </c>
      <c r="L80" s="8" t="s">
        <v>23</v>
      </c>
      <c r="M80" s="5"/>
      <c r="N80" s="2">
        <v>21</v>
      </c>
      <c r="O80" s="2">
        <v>2</v>
      </c>
      <c r="P80" s="2"/>
      <c r="Q80" s="2"/>
      <c r="R80" s="2">
        <v>6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>
        <f t="shared" si="4"/>
        <v>29</v>
      </c>
    </row>
    <row r="81" spans="1:29" x14ac:dyDescent="0.2">
      <c r="A81" s="2" t="s">
        <v>359</v>
      </c>
      <c r="B81" s="2" t="s">
        <v>19</v>
      </c>
      <c r="C81" s="27">
        <v>1</v>
      </c>
      <c r="D81" s="2" t="s">
        <v>20</v>
      </c>
      <c r="E81" s="2" t="str">
        <f>VLOOKUP(D81,[1]Comunas!$A:$E,5,0)</f>
        <v>Cauca</v>
      </c>
      <c r="F81" s="7" t="str">
        <f t="shared" si="3"/>
        <v>CaucaPOPAYAN</v>
      </c>
      <c r="G81" s="2" t="str">
        <f>VLOOKUP(F81,'[2]CLUSTER_MUNICIPIOS tarifas'!$D:$E,2,0)</f>
        <v>Moderado</v>
      </c>
      <c r="H81" s="2">
        <f>VLOOKUP(F81,'[3]CLUSTER_MUNICIPIOS tarifas'!$D:$F,3,0)</f>
        <v>19001</v>
      </c>
      <c r="I81" s="2" t="s">
        <v>102</v>
      </c>
      <c r="J81" s="18">
        <v>45323</v>
      </c>
      <c r="K81" s="8" t="s">
        <v>22</v>
      </c>
      <c r="L81" s="8" t="s">
        <v>23</v>
      </c>
      <c r="M81" s="5"/>
      <c r="N81" s="2">
        <v>11</v>
      </c>
      <c r="O81" s="2">
        <v>1</v>
      </c>
      <c r="P81" s="2"/>
      <c r="Q81" s="2"/>
      <c r="R81" s="2">
        <v>20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>
        <f t="shared" si="4"/>
        <v>32</v>
      </c>
    </row>
    <row r="82" spans="1:29" x14ac:dyDescent="0.2">
      <c r="A82" s="2" t="s">
        <v>359</v>
      </c>
      <c r="B82" s="2" t="s">
        <v>19</v>
      </c>
      <c r="C82" s="27">
        <v>1</v>
      </c>
      <c r="D82" s="2" t="s">
        <v>20</v>
      </c>
      <c r="E82" s="2" t="str">
        <f>VLOOKUP(D82,[1]Comunas!$A:$E,5,0)</f>
        <v>Cauca</v>
      </c>
      <c r="F82" s="7" t="str">
        <f t="shared" si="3"/>
        <v>CaucaPOPAYAN</v>
      </c>
      <c r="G82" s="2" t="str">
        <f>VLOOKUP(F82,'[2]CLUSTER_MUNICIPIOS tarifas'!$D:$E,2,0)</f>
        <v>Moderado</v>
      </c>
      <c r="H82" s="2">
        <f>VLOOKUP(F82,'[3]CLUSTER_MUNICIPIOS tarifas'!$D:$F,3,0)</f>
        <v>19001</v>
      </c>
      <c r="I82" s="2" t="s">
        <v>103</v>
      </c>
      <c r="J82" s="18">
        <v>45323</v>
      </c>
      <c r="K82" s="8" t="s">
        <v>22</v>
      </c>
      <c r="L82" s="8" t="s">
        <v>23</v>
      </c>
      <c r="M82" s="5"/>
      <c r="N82" s="2">
        <v>1</v>
      </c>
      <c r="O82" s="2">
        <v>4</v>
      </c>
      <c r="P82" s="2"/>
      <c r="Q82" s="2">
        <v>5</v>
      </c>
      <c r="R82" s="2">
        <v>4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>
        <f t="shared" si="4"/>
        <v>14</v>
      </c>
    </row>
    <row r="83" spans="1:29" x14ac:dyDescent="0.2">
      <c r="A83" s="2" t="s">
        <v>359</v>
      </c>
      <c r="B83" s="2" t="s">
        <v>19</v>
      </c>
      <c r="C83" s="27">
        <v>1</v>
      </c>
      <c r="D83" s="2" t="s">
        <v>20</v>
      </c>
      <c r="E83" s="2" t="str">
        <f>VLOOKUP(D83,[1]Comunas!$A:$E,5,0)</f>
        <v>Cauca</v>
      </c>
      <c r="F83" s="7" t="str">
        <f t="shared" si="3"/>
        <v>CaucaPOPAYAN</v>
      </c>
      <c r="G83" s="2" t="str">
        <f>VLOOKUP(F83,'[2]CLUSTER_MUNICIPIOS tarifas'!$D:$E,2,0)</f>
        <v>Moderado</v>
      </c>
      <c r="H83" s="2">
        <f>VLOOKUP(F83,'[3]CLUSTER_MUNICIPIOS tarifas'!$D:$F,3,0)</f>
        <v>19001</v>
      </c>
      <c r="I83" s="2" t="s">
        <v>104</v>
      </c>
      <c r="J83" s="18">
        <v>45323</v>
      </c>
      <c r="K83" s="8" t="s">
        <v>22</v>
      </c>
      <c r="L83" s="8" t="s">
        <v>23</v>
      </c>
      <c r="M83" s="5"/>
      <c r="N83" s="2">
        <v>2</v>
      </c>
      <c r="O83" s="2"/>
      <c r="P83" s="2"/>
      <c r="Q83" s="2">
        <v>4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>
        <f t="shared" si="4"/>
        <v>6</v>
      </c>
    </row>
    <row r="84" spans="1:29" x14ac:dyDescent="0.2">
      <c r="A84" s="2" t="s">
        <v>359</v>
      </c>
      <c r="B84" s="2" t="s">
        <v>19</v>
      </c>
      <c r="C84" s="27">
        <v>1</v>
      </c>
      <c r="D84" s="2" t="s">
        <v>20</v>
      </c>
      <c r="E84" s="2" t="str">
        <f>VLOOKUP(D84,[1]Comunas!$A:$E,5,0)</f>
        <v>Cauca</v>
      </c>
      <c r="F84" s="7" t="str">
        <f t="shared" si="3"/>
        <v>CaucaPOPAYAN</v>
      </c>
      <c r="G84" s="2" t="str">
        <f>VLOOKUP(F84,'[2]CLUSTER_MUNICIPIOS tarifas'!$D:$E,2,0)</f>
        <v>Moderado</v>
      </c>
      <c r="H84" s="2">
        <f>VLOOKUP(F84,'[3]CLUSTER_MUNICIPIOS tarifas'!$D:$F,3,0)</f>
        <v>19001</v>
      </c>
      <c r="I84" s="2" t="s">
        <v>105</v>
      </c>
      <c r="J84" s="18">
        <v>45323</v>
      </c>
      <c r="K84" s="8" t="s">
        <v>22</v>
      </c>
      <c r="L84" s="8" t="s">
        <v>23</v>
      </c>
      <c r="M84" s="5"/>
      <c r="N84" s="2">
        <v>2</v>
      </c>
      <c r="O84" s="2"/>
      <c r="P84" s="2"/>
      <c r="Q84" s="2">
        <v>1</v>
      </c>
      <c r="R84" s="2"/>
      <c r="S84" s="2"/>
      <c r="T84" s="2">
        <v>3</v>
      </c>
      <c r="U84" s="2"/>
      <c r="V84" s="2"/>
      <c r="W84" s="2"/>
      <c r="X84" s="2"/>
      <c r="Y84" s="2"/>
      <c r="Z84" s="2"/>
      <c r="AA84" s="2"/>
      <c r="AB84" s="2"/>
      <c r="AC84" s="2">
        <f t="shared" si="4"/>
        <v>6</v>
      </c>
    </row>
    <row r="85" spans="1:29" x14ac:dyDescent="0.2">
      <c r="A85" s="2" t="s">
        <v>359</v>
      </c>
      <c r="B85" s="2" t="s">
        <v>19</v>
      </c>
      <c r="C85" s="27">
        <v>1</v>
      </c>
      <c r="D85" s="2" t="s">
        <v>20</v>
      </c>
      <c r="E85" s="2" t="str">
        <f>VLOOKUP(D85,[1]Comunas!$A:$E,5,0)</f>
        <v>Cauca</v>
      </c>
      <c r="F85" s="7" t="str">
        <f t="shared" si="3"/>
        <v>CaucaPOPAYAN</v>
      </c>
      <c r="G85" s="2" t="str">
        <f>VLOOKUP(F85,'[2]CLUSTER_MUNICIPIOS tarifas'!$D:$E,2,0)</f>
        <v>Moderado</v>
      </c>
      <c r="H85" s="2">
        <f>VLOOKUP(F85,'[3]CLUSTER_MUNICIPIOS tarifas'!$D:$F,3,0)</f>
        <v>19001</v>
      </c>
      <c r="I85" s="2" t="s">
        <v>106</v>
      </c>
      <c r="J85" s="18">
        <v>45323</v>
      </c>
      <c r="K85" s="8" t="s">
        <v>22</v>
      </c>
      <c r="L85" s="8" t="s">
        <v>23</v>
      </c>
      <c r="M85" s="5"/>
      <c r="N85" s="2">
        <v>22</v>
      </c>
      <c r="O85" s="2">
        <v>1</v>
      </c>
      <c r="P85" s="2"/>
      <c r="Q85" s="2">
        <v>16</v>
      </c>
      <c r="R85" s="2">
        <v>4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>
        <f t="shared" si="4"/>
        <v>43</v>
      </c>
    </row>
    <row r="86" spans="1:29" x14ac:dyDescent="0.2">
      <c r="A86" s="2" t="s">
        <v>359</v>
      </c>
      <c r="B86" s="2" t="s">
        <v>19</v>
      </c>
      <c r="C86" s="27">
        <v>1</v>
      </c>
      <c r="D86" s="2" t="s">
        <v>20</v>
      </c>
      <c r="E86" s="2" t="str">
        <f>VLOOKUP(D86,[1]Comunas!$A:$E,5,0)</f>
        <v>Cauca</v>
      </c>
      <c r="F86" s="7" t="str">
        <f t="shared" si="3"/>
        <v>CaucaPOPAYAN</v>
      </c>
      <c r="G86" s="2" t="str">
        <f>VLOOKUP(F86,'[2]CLUSTER_MUNICIPIOS tarifas'!$D:$E,2,0)</f>
        <v>Moderado</v>
      </c>
      <c r="H86" s="2">
        <f>VLOOKUP(F86,'[3]CLUSTER_MUNICIPIOS tarifas'!$D:$F,3,0)</f>
        <v>19001</v>
      </c>
      <c r="I86" s="2" t="s">
        <v>107</v>
      </c>
      <c r="J86" s="18">
        <v>45323</v>
      </c>
      <c r="K86" s="8" t="s">
        <v>22</v>
      </c>
      <c r="L86" s="8" t="s">
        <v>23</v>
      </c>
      <c r="M86" s="5"/>
      <c r="N86" s="2">
        <v>3</v>
      </c>
      <c r="O86" s="2">
        <v>1</v>
      </c>
      <c r="P86" s="2"/>
      <c r="Q86" s="2">
        <v>4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>
        <f t="shared" si="4"/>
        <v>8</v>
      </c>
    </row>
    <row r="87" spans="1:29" x14ac:dyDescent="0.2">
      <c r="A87" s="2" t="s">
        <v>359</v>
      </c>
      <c r="B87" s="2" t="s">
        <v>19</v>
      </c>
      <c r="C87" s="27">
        <v>1</v>
      </c>
      <c r="D87" s="2" t="s">
        <v>108</v>
      </c>
      <c r="E87" s="2" t="str">
        <f>VLOOKUP(D87,[1]Comunas!$A:$E,5,0)</f>
        <v>Cauca</v>
      </c>
      <c r="F87" s="7" t="str">
        <f t="shared" si="3"/>
        <v>CaucaSANTANDER DE QUILICHAO</v>
      </c>
      <c r="G87" s="2" t="str">
        <f>VLOOKUP(F87,'[2]CLUSTER_MUNICIPIOS tarifas'!$D:$E,2,0)</f>
        <v>Moderado</v>
      </c>
      <c r="H87" s="2">
        <f>VLOOKUP(F87,'[3]CLUSTER_MUNICIPIOS tarifas'!$D:$F,3,0)</f>
        <v>19698</v>
      </c>
      <c r="I87" s="2" t="s">
        <v>109</v>
      </c>
      <c r="J87" s="18">
        <v>45323</v>
      </c>
      <c r="K87" s="8" t="s">
        <v>22</v>
      </c>
      <c r="L87" s="8" t="s">
        <v>23</v>
      </c>
      <c r="M87" s="5"/>
      <c r="N87" s="2">
        <v>35</v>
      </c>
      <c r="O87" s="2">
        <v>4</v>
      </c>
      <c r="P87" s="2"/>
      <c r="Q87" s="2">
        <v>26</v>
      </c>
      <c r="R87" s="2">
        <v>3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>
        <f t="shared" si="4"/>
        <v>68</v>
      </c>
    </row>
    <row r="88" spans="1:29" x14ac:dyDescent="0.2">
      <c r="A88" s="2" t="s">
        <v>359</v>
      </c>
      <c r="B88" s="2" t="s">
        <v>19</v>
      </c>
      <c r="C88" s="27">
        <v>1</v>
      </c>
      <c r="D88" s="2" t="s">
        <v>108</v>
      </c>
      <c r="E88" s="2" t="str">
        <f>VLOOKUP(D88,[1]Comunas!$A:$E,5,0)</f>
        <v>Cauca</v>
      </c>
      <c r="F88" s="7" t="str">
        <f t="shared" si="3"/>
        <v>CaucaSANTANDER DE QUILICHAO</v>
      </c>
      <c r="G88" s="2" t="str">
        <f>VLOOKUP(F88,'[2]CLUSTER_MUNICIPIOS tarifas'!$D:$E,2,0)</f>
        <v>Moderado</v>
      </c>
      <c r="H88" s="2">
        <f>VLOOKUP(F88,'[3]CLUSTER_MUNICIPIOS tarifas'!$D:$F,3,0)</f>
        <v>19698</v>
      </c>
      <c r="I88" s="2" t="s">
        <v>110</v>
      </c>
      <c r="J88" s="18">
        <v>45323</v>
      </c>
      <c r="K88" s="8" t="s">
        <v>22</v>
      </c>
      <c r="L88" s="8" t="s">
        <v>23</v>
      </c>
      <c r="M88" s="5"/>
      <c r="N88" s="2">
        <v>2</v>
      </c>
      <c r="O88" s="2"/>
      <c r="P88" s="2"/>
      <c r="Q88" s="2">
        <v>1</v>
      </c>
      <c r="R88" s="2">
        <v>2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>
        <f t="shared" si="4"/>
        <v>5</v>
      </c>
    </row>
    <row r="89" spans="1:29" x14ac:dyDescent="0.2">
      <c r="A89" s="2" t="s">
        <v>359</v>
      </c>
      <c r="B89" s="2" t="s">
        <v>19</v>
      </c>
      <c r="C89" s="27">
        <v>1</v>
      </c>
      <c r="D89" s="2" t="s">
        <v>20</v>
      </c>
      <c r="E89" s="2" t="str">
        <f>VLOOKUP(D89,[1]Comunas!$A:$E,5,0)</f>
        <v>Cauca</v>
      </c>
      <c r="F89" s="7" t="str">
        <f t="shared" si="3"/>
        <v>CaucaPOPAYAN</v>
      </c>
      <c r="G89" s="2" t="str">
        <f>VLOOKUP(F89,'[2]CLUSTER_MUNICIPIOS tarifas'!$D:$E,2,0)</f>
        <v>Moderado</v>
      </c>
      <c r="H89" s="2">
        <f>VLOOKUP(F89,'[3]CLUSTER_MUNICIPIOS tarifas'!$D:$F,3,0)</f>
        <v>19001</v>
      </c>
      <c r="I89" s="2" t="s">
        <v>111</v>
      </c>
      <c r="J89" s="18">
        <v>45323</v>
      </c>
      <c r="K89" s="8" t="s">
        <v>22</v>
      </c>
      <c r="L89" s="8" t="s">
        <v>23</v>
      </c>
      <c r="M89" s="5"/>
      <c r="N89" s="2">
        <v>3</v>
      </c>
      <c r="O89" s="2"/>
      <c r="P89" s="2"/>
      <c r="Q89" s="2"/>
      <c r="R89" s="2">
        <v>2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>
        <f t="shared" si="4"/>
        <v>5</v>
      </c>
    </row>
    <row r="90" spans="1:29" x14ac:dyDescent="0.2">
      <c r="A90" s="2" t="s">
        <v>359</v>
      </c>
      <c r="B90" s="2" t="s">
        <v>19</v>
      </c>
      <c r="C90" s="27">
        <v>1</v>
      </c>
      <c r="D90" s="2" t="s">
        <v>20</v>
      </c>
      <c r="E90" s="2" t="str">
        <f>VLOOKUP(D90,[1]Comunas!$A:$E,5,0)</f>
        <v>Cauca</v>
      </c>
      <c r="F90" s="7" t="str">
        <f t="shared" si="3"/>
        <v>CaucaPOPAYAN</v>
      </c>
      <c r="G90" s="2" t="str">
        <f>VLOOKUP(F90,'[2]CLUSTER_MUNICIPIOS tarifas'!$D:$E,2,0)</f>
        <v>Moderado</v>
      </c>
      <c r="H90" s="2">
        <f>VLOOKUP(F90,'[3]CLUSTER_MUNICIPIOS tarifas'!$D:$F,3,0)</f>
        <v>19001</v>
      </c>
      <c r="I90" s="2" t="s">
        <v>112</v>
      </c>
      <c r="J90" s="18">
        <v>45323</v>
      </c>
      <c r="K90" s="8" t="s">
        <v>22</v>
      </c>
      <c r="L90" s="8" t="s">
        <v>23</v>
      </c>
      <c r="M90" s="5"/>
      <c r="N90" s="2">
        <v>7</v>
      </c>
      <c r="O90" s="2">
        <v>2</v>
      </c>
      <c r="P90" s="2"/>
      <c r="Q90" s="2">
        <v>5</v>
      </c>
      <c r="R90" s="2">
        <v>3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>
        <f t="shared" si="4"/>
        <v>17</v>
      </c>
    </row>
    <row r="91" spans="1:29" x14ac:dyDescent="0.2">
      <c r="A91" s="2" t="s">
        <v>359</v>
      </c>
      <c r="B91" s="2" t="s">
        <v>19</v>
      </c>
      <c r="C91" s="27">
        <v>1</v>
      </c>
      <c r="D91" s="2" t="s">
        <v>20</v>
      </c>
      <c r="E91" s="2" t="str">
        <f>VLOOKUP(D91,[1]Comunas!$A:$E,5,0)</f>
        <v>Cauca</v>
      </c>
      <c r="F91" s="7" t="str">
        <f t="shared" si="3"/>
        <v>CaucaPOPAYAN</v>
      </c>
      <c r="G91" s="2" t="str">
        <f>VLOOKUP(F91,'[2]CLUSTER_MUNICIPIOS tarifas'!$D:$E,2,0)</f>
        <v>Moderado</v>
      </c>
      <c r="H91" s="2">
        <f>VLOOKUP(F91,'[3]CLUSTER_MUNICIPIOS tarifas'!$D:$F,3,0)</f>
        <v>19001</v>
      </c>
      <c r="I91" s="2" t="s">
        <v>113</v>
      </c>
      <c r="J91" s="18">
        <v>45323</v>
      </c>
      <c r="K91" s="8" t="s">
        <v>22</v>
      </c>
      <c r="L91" s="8" t="s">
        <v>23</v>
      </c>
      <c r="M91" s="5"/>
      <c r="N91" s="2">
        <v>8</v>
      </c>
      <c r="O91" s="2"/>
      <c r="P91" s="2"/>
      <c r="Q91" s="2">
        <v>6</v>
      </c>
      <c r="R91" s="2">
        <v>5</v>
      </c>
      <c r="S91" s="2"/>
      <c r="T91" s="2">
        <v>2</v>
      </c>
      <c r="U91" s="2"/>
      <c r="V91" s="2"/>
      <c r="W91" s="2"/>
      <c r="X91" s="2"/>
      <c r="Y91" s="2"/>
      <c r="Z91" s="2"/>
      <c r="AA91" s="2"/>
      <c r="AB91" s="2"/>
      <c r="AC91" s="2">
        <f t="shared" si="4"/>
        <v>21</v>
      </c>
    </row>
    <row r="92" spans="1:29" x14ac:dyDescent="0.2">
      <c r="A92" s="2" t="s">
        <v>359</v>
      </c>
      <c r="B92" s="2" t="s">
        <v>19</v>
      </c>
      <c r="C92" s="27">
        <v>1</v>
      </c>
      <c r="D92" s="2" t="s">
        <v>20</v>
      </c>
      <c r="E92" s="2" t="str">
        <f>VLOOKUP(D92,[1]Comunas!$A:$E,5,0)</f>
        <v>Cauca</v>
      </c>
      <c r="F92" s="7" t="str">
        <f t="shared" si="3"/>
        <v>CaucaPOPAYAN</v>
      </c>
      <c r="G92" s="2" t="str">
        <f>VLOOKUP(F92,'[2]CLUSTER_MUNICIPIOS tarifas'!$D:$E,2,0)</f>
        <v>Moderado</v>
      </c>
      <c r="H92" s="2">
        <f>VLOOKUP(F92,'[3]CLUSTER_MUNICIPIOS tarifas'!$D:$F,3,0)</f>
        <v>19001</v>
      </c>
      <c r="I92" s="2" t="s">
        <v>114</v>
      </c>
      <c r="J92" s="18">
        <v>45323</v>
      </c>
      <c r="K92" s="8" t="s">
        <v>22</v>
      </c>
      <c r="L92" s="8" t="s">
        <v>23</v>
      </c>
      <c r="M92" s="5"/>
      <c r="N92" s="2">
        <v>14</v>
      </c>
      <c r="O92" s="2">
        <v>2</v>
      </c>
      <c r="P92" s="2">
        <v>1</v>
      </c>
      <c r="Q92" s="2">
        <v>1</v>
      </c>
      <c r="R92" s="2">
        <v>6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>
        <f t="shared" si="4"/>
        <v>24</v>
      </c>
    </row>
    <row r="93" spans="1:29" x14ac:dyDescent="0.2">
      <c r="A93" s="2" t="s">
        <v>359</v>
      </c>
      <c r="B93" s="2" t="s">
        <v>19</v>
      </c>
      <c r="C93" s="27">
        <v>1</v>
      </c>
      <c r="D93" s="2" t="s">
        <v>20</v>
      </c>
      <c r="E93" s="2" t="str">
        <f>VLOOKUP(D93,[1]Comunas!$A:$E,5,0)</f>
        <v>Cauca</v>
      </c>
      <c r="F93" s="7" t="str">
        <f t="shared" si="3"/>
        <v>CaucaPOPAYAN</v>
      </c>
      <c r="G93" s="2" t="str">
        <f>VLOOKUP(F93,'[2]CLUSTER_MUNICIPIOS tarifas'!$D:$E,2,0)</f>
        <v>Moderado</v>
      </c>
      <c r="H93" s="2">
        <f>VLOOKUP(F93,'[3]CLUSTER_MUNICIPIOS tarifas'!$D:$F,3,0)</f>
        <v>19001</v>
      </c>
      <c r="I93" s="2" t="s">
        <v>115</v>
      </c>
      <c r="J93" s="18">
        <v>45323</v>
      </c>
      <c r="K93" s="8" t="s">
        <v>22</v>
      </c>
      <c r="L93" s="8" t="s">
        <v>23</v>
      </c>
      <c r="M93" s="5"/>
      <c r="N93" s="2">
        <v>20</v>
      </c>
      <c r="O93" s="2">
        <v>10</v>
      </c>
      <c r="P93" s="2">
        <v>1</v>
      </c>
      <c r="Q93" s="2">
        <v>9</v>
      </c>
      <c r="R93" s="2">
        <v>3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>
        <f t="shared" si="4"/>
        <v>43</v>
      </c>
    </row>
    <row r="94" spans="1:29" x14ac:dyDescent="0.2">
      <c r="A94" s="2" t="s">
        <v>359</v>
      </c>
      <c r="B94" s="2" t="s">
        <v>19</v>
      </c>
      <c r="C94" s="27">
        <v>1</v>
      </c>
      <c r="D94" s="2" t="s">
        <v>20</v>
      </c>
      <c r="E94" s="2" t="str">
        <f>VLOOKUP(D94,[1]Comunas!$A:$E,5,0)</f>
        <v>Cauca</v>
      </c>
      <c r="F94" s="7" t="str">
        <f t="shared" si="3"/>
        <v>CaucaPOPAYAN</v>
      </c>
      <c r="G94" s="2" t="str">
        <f>VLOOKUP(F94,'[2]CLUSTER_MUNICIPIOS tarifas'!$D:$E,2,0)</f>
        <v>Moderado</v>
      </c>
      <c r="H94" s="2">
        <f>VLOOKUP(F94,'[3]CLUSTER_MUNICIPIOS tarifas'!$D:$F,3,0)</f>
        <v>19001</v>
      </c>
      <c r="I94" s="2" t="s">
        <v>116</v>
      </c>
      <c r="J94" s="18">
        <v>45323</v>
      </c>
      <c r="K94" s="8" t="s">
        <v>22</v>
      </c>
      <c r="L94" s="8" t="s">
        <v>23</v>
      </c>
      <c r="M94" s="5"/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>
        <f t="shared" si="4"/>
        <v>1</v>
      </c>
    </row>
    <row r="95" spans="1:29" x14ac:dyDescent="0.2">
      <c r="A95" s="2" t="s">
        <v>359</v>
      </c>
      <c r="B95" s="2" t="s">
        <v>19</v>
      </c>
      <c r="C95" s="27">
        <v>1</v>
      </c>
      <c r="D95" s="2" t="s">
        <v>20</v>
      </c>
      <c r="E95" s="2" t="str">
        <f>VLOOKUP(D95,[1]Comunas!$A:$E,5,0)</f>
        <v>Cauca</v>
      </c>
      <c r="F95" s="7" t="str">
        <f t="shared" si="3"/>
        <v>CaucaPOPAYAN</v>
      </c>
      <c r="G95" s="2" t="str">
        <f>VLOOKUP(F95,'[2]CLUSTER_MUNICIPIOS tarifas'!$D:$E,2,0)</f>
        <v>Moderado</v>
      </c>
      <c r="H95" s="2">
        <f>VLOOKUP(F95,'[3]CLUSTER_MUNICIPIOS tarifas'!$D:$F,3,0)</f>
        <v>19001</v>
      </c>
      <c r="I95" s="2" t="s">
        <v>117</v>
      </c>
      <c r="J95" s="18">
        <v>45323</v>
      </c>
      <c r="K95" s="8" t="s">
        <v>22</v>
      </c>
      <c r="L95" s="8" t="s">
        <v>23</v>
      </c>
      <c r="M95" s="5"/>
      <c r="N95" s="2"/>
      <c r="O95" s="2"/>
      <c r="P95" s="2"/>
      <c r="Q95" s="2">
        <v>1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>
        <f t="shared" si="4"/>
        <v>1</v>
      </c>
    </row>
    <row r="96" spans="1:29" x14ac:dyDescent="0.2">
      <c r="A96" s="2" t="s">
        <v>359</v>
      </c>
      <c r="B96" s="2" t="s">
        <v>19</v>
      </c>
      <c r="C96" s="27">
        <v>1</v>
      </c>
      <c r="D96" s="2" t="s">
        <v>20</v>
      </c>
      <c r="E96" s="2" t="str">
        <f>VLOOKUP(D96,[1]Comunas!$A:$E,5,0)</f>
        <v>Cauca</v>
      </c>
      <c r="F96" s="7" t="str">
        <f t="shared" si="3"/>
        <v>CaucaPOPAYAN</v>
      </c>
      <c r="G96" s="2" t="str">
        <f>VLOOKUP(F96,'[2]CLUSTER_MUNICIPIOS tarifas'!$D:$E,2,0)</f>
        <v>Moderado</v>
      </c>
      <c r="H96" s="2">
        <f>VLOOKUP(F96,'[3]CLUSTER_MUNICIPIOS tarifas'!$D:$F,3,0)</f>
        <v>19001</v>
      </c>
      <c r="I96" s="2" t="s">
        <v>118</v>
      </c>
      <c r="J96" s="18">
        <v>45323</v>
      </c>
      <c r="K96" s="8" t="s">
        <v>22</v>
      </c>
      <c r="L96" s="8" t="s">
        <v>23</v>
      </c>
      <c r="M96" s="5"/>
      <c r="N96" s="2">
        <v>2</v>
      </c>
      <c r="O96" s="2"/>
      <c r="P96" s="2"/>
      <c r="Q96" s="2">
        <v>2</v>
      </c>
      <c r="R96" s="2">
        <v>1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>
        <f t="shared" si="4"/>
        <v>5</v>
      </c>
    </row>
    <row r="97" spans="1:29" x14ac:dyDescent="0.2">
      <c r="A97" s="2" t="s">
        <v>359</v>
      </c>
      <c r="B97" s="2" t="s">
        <v>19</v>
      </c>
      <c r="C97" s="27">
        <v>1</v>
      </c>
      <c r="D97" s="2" t="s">
        <v>20</v>
      </c>
      <c r="E97" s="2" t="str">
        <f>VLOOKUP(D97,[1]Comunas!$A:$E,5,0)</f>
        <v>Cauca</v>
      </c>
      <c r="F97" s="7" t="str">
        <f t="shared" si="3"/>
        <v>CaucaPOPAYAN</v>
      </c>
      <c r="G97" s="2" t="str">
        <f>VLOOKUP(F97,'[2]CLUSTER_MUNICIPIOS tarifas'!$D:$E,2,0)</f>
        <v>Moderado</v>
      </c>
      <c r="H97" s="2">
        <f>VLOOKUP(F97,'[3]CLUSTER_MUNICIPIOS tarifas'!$D:$F,3,0)</f>
        <v>19001</v>
      </c>
      <c r="I97" s="2" t="s">
        <v>119</v>
      </c>
      <c r="J97" s="18">
        <v>45323</v>
      </c>
      <c r="K97" s="8" t="s">
        <v>22</v>
      </c>
      <c r="L97" s="8" t="s">
        <v>23</v>
      </c>
      <c r="M97" s="5"/>
      <c r="N97" s="2">
        <v>10</v>
      </c>
      <c r="O97" s="2">
        <v>5</v>
      </c>
      <c r="P97" s="2"/>
      <c r="Q97" s="2"/>
      <c r="R97" s="2">
        <v>2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>
        <f t="shared" si="4"/>
        <v>17</v>
      </c>
    </row>
    <row r="98" spans="1:29" x14ac:dyDescent="0.2">
      <c r="A98" s="2" t="s">
        <v>359</v>
      </c>
      <c r="B98" s="2" t="s">
        <v>19</v>
      </c>
      <c r="C98" s="27">
        <v>1</v>
      </c>
      <c r="D98" s="2" t="s">
        <v>20</v>
      </c>
      <c r="E98" s="2" t="str">
        <f>VLOOKUP(D98,[1]Comunas!$A:$E,5,0)</f>
        <v>Cauca</v>
      </c>
      <c r="F98" s="7" t="str">
        <f t="shared" si="3"/>
        <v>CaucaPOPAYAN</v>
      </c>
      <c r="G98" s="2" t="str">
        <f>VLOOKUP(F98,'[2]CLUSTER_MUNICIPIOS tarifas'!$D:$E,2,0)</f>
        <v>Moderado</v>
      </c>
      <c r="H98" s="2">
        <f>VLOOKUP(F98,'[3]CLUSTER_MUNICIPIOS tarifas'!$D:$F,3,0)</f>
        <v>19001</v>
      </c>
      <c r="I98" s="2" t="s">
        <v>120</v>
      </c>
      <c r="J98" s="18">
        <v>45323</v>
      </c>
      <c r="K98" s="8" t="s">
        <v>22</v>
      </c>
      <c r="L98" s="8" t="s">
        <v>23</v>
      </c>
      <c r="M98" s="5"/>
      <c r="N98" s="2"/>
      <c r="O98" s="2">
        <v>1</v>
      </c>
      <c r="P98" s="2"/>
      <c r="Q98" s="2">
        <v>1</v>
      </c>
      <c r="R98" s="2">
        <v>3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>
        <f t="shared" si="4"/>
        <v>5</v>
      </c>
    </row>
    <row r="99" spans="1:29" x14ac:dyDescent="0.2">
      <c r="A99" s="2" t="s">
        <v>359</v>
      </c>
      <c r="B99" s="2" t="s">
        <v>19</v>
      </c>
      <c r="C99" s="27">
        <v>1</v>
      </c>
      <c r="D99" s="2" t="s">
        <v>20</v>
      </c>
      <c r="E99" s="2" t="str">
        <f>VLOOKUP(D99,[1]Comunas!$A:$E,5,0)</f>
        <v>Cauca</v>
      </c>
      <c r="F99" s="7" t="str">
        <f t="shared" si="3"/>
        <v>CaucaPOPAYAN</v>
      </c>
      <c r="G99" s="2" t="str">
        <f>VLOOKUP(F99,'[2]CLUSTER_MUNICIPIOS tarifas'!$D:$E,2,0)</f>
        <v>Moderado</v>
      </c>
      <c r="H99" s="2">
        <f>VLOOKUP(F99,'[3]CLUSTER_MUNICIPIOS tarifas'!$D:$F,3,0)</f>
        <v>19001</v>
      </c>
      <c r="I99" s="2" t="s">
        <v>121</v>
      </c>
      <c r="J99" s="18">
        <v>45323</v>
      </c>
      <c r="K99" s="8" t="s">
        <v>22</v>
      </c>
      <c r="L99" s="8" t="s">
        <v>23</v>
      </c>
      <c r="M99" s="5"/>
      <c r="N99" s="2">
        <v>3</v>
      </c>
      <c r="O99" s="2"/>
      <c r="P99" s="2"/>
      <c r="Q99" s="2">
        <v>2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>
        <f t="shared" si="4"/>
        <v>5</v>
      </c>
    </row>
    <row r="100" spans="1:29" x14ac:dyDescent="0.2">
      <c r="A100" s="2" t="s">
        <v>359</v>
      </c>
      <c r="B100" s="2" t="s">
        <v>19</v>
      </c>
      <c r="C100" s="27">
        <v>1</v>
      </c>
      <c r="D100" s="2" t="s">
        <v>20</v>
      </c>
      <c r="E100" s="2" t="str">
        <f>VLOOKUP(D100,[1]Comunas!$A:$E,5,0)</f>
        <v>Cauca</v>
      </c>
      <c r="F100" s="7" t="str">
        <f t="shared" si="3"/>
        <v>CaucaPOPAYAN</v>
      </c>
      <c r="G100" s="2" t="str">
        <f>VLOOKUP(F100,'[2]CLUSTER_MUNICIPIOS tarifas'!$D:$E,2,0)</f>
        <v>Moderado</v>
      </c>
      <c r="H100" s="2">
        <f>VLOOKUP(F100,'[3]CLUSTER_MUNICIPIOS tarifas'!$D:$F,3,0)</f>
        <v>19001</v>
      </c>
      <c r="I100" s="2" t="s">
        <v>122</v>
      </c>
      <c r="J100" s="18">
        <v>45323</v>
      </c>
      <c r="K100" s="8" t="s">
        <v>22</v>
      </c>
      <c r="L100" s="8" t="s">
        <v>23</v>
      </c>
      <c r="M100" s="5"/>
      <c r="N100" s="2">
        <v>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>
        <f t="shared" si="4"/>
        <v>3</v>
      </c>
    </row>
    <row r="101" spans="1:29" x14ac:dyDescent="0.2">
      <c r="A101" s="2" t="s">
        <v>359</v>
      </c>
      <c r="B101" s="2" t="s">
        <v>19</v>
      </c>
      <c r="C101" s="27">
        <v>1</v>
      </c>
      <c r="D101" s="2" t="s">
        <v>20</v>
      </c>
      <c r="E101" s="2" t="str">
        <f>VLOOKUP(D101,[1]Comunas!$A:$E,5,0)</f>
        <v>Cauca</v>
      </c>
      <c r="F101" s="7" t="str">
        <f t="shared" si="3"/>
        <v>CaucaPOPAYAN</v>
      </c>
      <c r="G101" s="2" t="str">
        <f>VLOOKUP(F101,'[2]CLUSTER_MUNICIPIOS tarifas'!$D:$E,2,0)</f>
        <v>Moderado</v>
      </c>
      <c r="H101" s="2">
        <f>VLOOKUP(F101,'[3]CLUSTER_MUNICIPIOS tarifas'!$D:$F,3,0)</f>
        <v>19001</v>
      </c>
      <c r="I101" s="2" t="s">
        <v>123</v>
      </c>
      <c r="J101" s="18">
        <v>45323</v>
      </c>
      <c r="K101" s="8" t="s">
        <v>22</v>
      </c>
      <c r="L101" s="8" t="s">
        <v>23</v>
      </c>
      <c r="M101" s="5"/>
      <c r="N101" s="2">
        <v>11</v>
      </c>
      <c r="O101" s="2">
        <v>1</v>
      </c>
      <c r="P101" s="2"/>
      <c r="Q101" s="2">
        <v>2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>
        <f t="shared" si="4"/>
        <v>14</v>
      </c>
    </row>
    <row r="102" spans="1:29" x14ac:dyDescent="0.2">
      <c r="A102" s="2" t="s">
        <v>359</v>
      </c>
      <c r="B102" s="2" t="s">
        <v>19</v>
      </c>
      <c r="C102" s="27">
        <v>1</v>
      </c>
      <c r="D102" s="2" t="s">
        <v>20</v>
      </c>
      <c r="E102" s="2" t="str">
        <f>VLOOKUP(D102,[1]Comunas!$A:$E,5,0)</f>
        <v>Cauca</v>
      </c>
      <c r="F102" s="7" t="str">
        <f t="shared" si="3"/>
        <v>CaucaPOPAYAN</v>
      </c>
      <c r="G102" s="2" t="str">
        <f>VLOOKUP(F102,'[2]CLUSTER_MUNICIPIOS tarifas'!$D:$E,2,0)</f>
        <v>Moderado</v>
      </c>
      <c r="H102" s="2">
        <f>VLOOKUP(F102,'[3]CLUSTER_MUNICIPIOS tarifas'!$D:$F,3,0)</f>
        <v>19001</v>
      </c>
      <c r="I102" s="2" t="s">
        <v>124</v>
      </c>
      <c r="J102" s="18">
        <v>45323</v>
      </c>
      <c r="K102" s="8" t="s">
        <v>22</v>
      </c>
      <c r="L102" s="8" t="s">
        <v>23</v>
      </c>
      <c r="M102" s="5"/>
      <c r="N102" s="2">
        <v>27</v>
      </c>
      <c r="O102" s="2">
        <v>4</v>
      </c>
      <c r="P102" s="2"/>
      <c r="Q102" s="2">
        <v>17</v>
      </c>
      <c r="R102" s="2">
        <v>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>
        <f t="shared" si="4"/>
        <v>55</v>
      </c>
    </row>
    <row r="103" spans="1:29" x14ac:dyDescent="0.2">
      <c r="A103" s="2" t="s">
        <v>359</v>
      </c>
      <c r="B103" s="2" t="s">
        <v>19</v>
      </c>
      <c r="C103" s="27">
        <v>1</v>
      </c>
      <c r="D103" s="2" t="s">
        <v>20</v>
      </c>
      <c r="E103" s="2" t="str">
        <f>VLOOKUP(D103,[1]Comunas!$A:$E,5,0)</f>
        <v>Cauca</v>
      </c>
      <c r="F103" s="7" t="str">
        <f t="shared" si="3"/>
        <v>CaucaPOPAYAN</v>
      </c>
      <c r="G103" s="2" t="str">
        <f>VLOOKUP(F103,'[2]CLUSTER_MUNICIPIOS tarifas'!$D:$E,2,0)</f>
        <v>Moderado</v>
      </c>
      <c r="H103" s="2">
        <f>VLOOKUP(F103,'[3]CLUSTER_MUNICIPIOS tarifas'!$D:$F,3,0)</f>
        <v>19001</v>
      </c>
      <c r="I103" s="2" t="s">
        <v>125</v>
      </c>
      <c r="J103" s="18">
        <v>45323</v>
      </c>
      <c r="K103" s="8" t="s">
        <v>22</v>
      </c>
      <c r="L103" s="8" t="s">
        <v>23</v>
      </c>
      <c r="M103" s="5"/>
      <c r="N103" s="2">
        <v>14</v>
      </c>
      <c r="O103" s="2"/>
      <c r="P103" s="2"/>
      <c r="Q103" s="2">
        <v>3</v>
      </c>
      <c r="R103" s="2">
        <v>4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>
        <f t="shared" si="4"/>
        <v>21</v>
      </c>
    </row>
    <row r="104" spans="1:29" x14ac:dyDescent="0.2">
      <c r="A104" s="2" t="s">
        <v>359</v>
      </c>
      <c r="B104" s="2" t="s">
        <v>19</v>
      </c>
      <c r="C104" s="27">
        <v>1</v>
      </c>
      <c r="D104" s="2" t="s">
        <v>20</v>
      </c>
      <c r="E104" s="2" t="str">
        <f>VLOOKUP(D104,[1]Comunas!$A:$E,5,0)</f>
        <v>Cauca</v>
      </c>
      <c r="F104" s="7" t="str">
        <f t="shared" si="3"/>
        <v>CaucaPOPAYAN</v>
      </c>
      <c r="G104" s="2" t="str">
        <f>VLOOKUP(F104,'[2]CLUSTER_MUNICIPIOS tarifas'!$D:$E,2,0)</f>
        <v>Moderado</v>
      </c>
      <c r="H104" s="2">
        <f>VLOOKUP(F104,'[3]CLUSTER_MUNICIPIOS tarifas'!$D:$F,3,0)</f>
        <v>19001</v>
      </c>
      <c r="I104" s="2" t="s">
        <v>126</v>
      </c>
      <c r="J104" s="18">
        <v>45323</v>
      </c>
      <c r="K104" s="8" t="s">
        <v>22</v>
      </c>
      <c r="L104" s="8" t="s">
        <v>23</v>
      </c>
      <c r="M104" s="5"/>
      <c r="N104" s="2">
        <v>6</v>
      </c>
      <c r="O104" s="2"/>
      <c r="P104" s="2"/>
      <c r="Q104" s="2">
        <v>2</v>
      </c>
      <c r="R104" s="2">
        <v>4</v>
      </c>
      <c r="S104" s="2"/>
      <c r="T104" s="2">
        <v>1</v>
      </c>
      <c r="U104" s="2"/>
      <c r="V104" s="2">
        <v>1</v>
      </c>
      <c r="W104" s="2"/>
      <c r="X104" s="2"/>
      <c r="Y104" s="2"/>
      <c r="Z104" s="2"/>
      <c r="AA104" s="2"/>
      <c r="AB104" s="2"/>
      <c r="AC104" s="2">
        <f t="shared" si="4"/>
        <v>14</v>
      </c>
    </row>
    <row r="105" spans="1:29" x14ac:dyDescent="0.2">
      <c r="A105" s="2" t="s">
        <v>359</v>
      </c>
      <c r="B105" s="2" t="s">
        <v>19</v>
      </c>
      <c r="C105" s="27">
        <v>1</v>
      </c>
      <c r="D105" s="2" t="s">
        <v>20</v>
      </c>
      <c r="E105" s="2" t="str">
        <f>VLOOKUP(D105,[1]Comunas!$A:$E,5,0)</f>
        <v>Cauca</v>
      </c>
      <c r="F105" s="7" t="str">
        <f t="shared" si="3"/>
        <v>CaucaPOPAYAN</v>
      </c>
      <c r="G105" s="2" t="str">
        <f>VLOOKUP(F105,'[2]CLUSTER_MUNICIPIOS tarifas'!$D:$E,2,0)</f>
        <v>Moderado</v>
      </c>
      <c r="H105" s="2">
        <f>VLOOKUP(F105,'[3]CLUSTER_MUNICIPIOS tarifas'!$D:$F,3,0)</f>
        <v>19001</v>
      </c>
      <c r="I105" s="2" t="s">
        <v>127</v>
      </c>
      <c r="J105" s="18">
        <v>45323</v>
      </c>
      <c r="K105" s="8" t="s">
        <v>22</v>
      </c>
      <c r="L105" s="8" t="s">
        <v>23</v>
      </c>
      <c r="M105" s="5"/>
      <c r="N105" s="2">
        <v>18</v>
      </c>
      <c r="O105" s="2">
        <v>9</v>
      </c>
      <c r="P105" s="2">
        <v>2</v>
      </c>
      <c r="Q105" s="2"/>
      <c r="R105" s="2">
        <v>28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>
        <f t="shared" si="4"/>
        <v>57</v>
      </c>
    </row>
    <row r="106" spans="1:29" x14ac:dyDescent="0.2">
      <c r="A106" s="2" t="s">
        <v>359</v>
      </c>
      <c r="B106" s="2" t="s">
        <v>19</v>
      </c>
      <c r="C106" s="27">
        <v>1</v>
      </c>
      <c r="D106" s="2" t="s">
        <v>20</v>
      </c>
      <c r="E106" s="2" t="str">
        <f>VLOOKUP(D106,[1]Comunas!$A:$E,5,0)</f>
        <v>Cauca</v>
      </c>
      <c r="F106" s="7" t="str">
        <f t="shared" si="3"/>
        <v>CaucaPOPAYAN</v>
      </c>
      <c r="G106" s="2" t="str">
        <f>VLOOKUP(F106,'[2]CLUSTER_MUNICIPIOS tarifas'!$D:$E,2,0)</f>
        <v>Moderado</v>
      </c>
      <c r="H106" s="2">
        <f>VLOOKUP(F106,'[3]CLUSTER_MUNICIPIOS tarifas'!$D:$F,3,0)</f>
        <v>19001</v>
      </c>
      <c r="I106" s="2" t="s">
        <v>128</v>
      </c>
      <c r="J106" s="18">
        <v>45323</v>
      </c>
      <c r="K106" s="8" t="s">
        <v>22</v>
      </c>
      <c r="L106" s="8" t="s">
        <v>23</v>
      </c>
      <c r="M106" s="5"/>
      <c r="N106" s="2">
        <v>5</v>
      </c>
      <c r="O106" s="2">
        <v>12</v>
      </c>
      <c r="P106" s="2"/>
      <c r="Q106" s="2"/>
      <c r="R106" s="2">
        <v>2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>
        <f t="shared" si="4"/>
        <v>19</v>
      </c>
    </row>
    <row r="107" spans="1:29" x14ac:dyDescent="0.2">
      <c r="A107" s="2" t="s">
        <v>359</v>
      </c>
      <c r="B107" s="2" t="s">
        <v>19</v>
      </c>
      <c r="C107" s="27">
        <v>1</v>
      </c>
      <c r="D107" s="2" t="s">
        <v>20</v>
      </c>
      <c r="E107" s="2" t="str">
        <f>VLOOKUP(D107,[1]Comunas!$A:$E,5,0)</f>
        <v>Cauca</v>
      </c>
      <c r="F107" s="7" t="str">
        <f t="shared" si="3"/>
        <v>CaucaPOPAYAN</v>
      </c>
      <c r="G107" s="2" t="str">
        <f>VLOOKUP(F107,'[2]CLUSTER_MUNICIPIOS tarifas'!$D:$E,2,0)</f>
        <v>Moderado</v>
      </c>
      <c r="H107" s="2">
        <f>VLOOKUP(F107,'[3]CLUSTER_MUNICIPIOS tarifas'!$D:$F,3,0)</f>
        <v>19001</v>
      </c>
      <c r="I107" s="2" t="s">
        <v>129</v>
      </c>
      <c r="J107" s="18">
        <v>45323</v>
      </c>
      <c r="K107" s="8" t="s">
        <v>22</v>
      </c>
      <c r="L107" s="8" t="s">
        <v>23</v>
      </c>
      <c r="M107" s="5"/>
      <c r="N107" s="2">
        <v>9</v>
      </c>
      <c r="O107" s="2">
        <v>3</v>
      </c>
      <c r="P107" s="2">
        <v>2</v>
      </c>
      <c r="Q107" s="2">
        <v>4</v>
      </c>
      <c r="R107" s="2">
        <v>9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>
        <f t="shared" si="4"/>
        <v>27</v>
      </c>
    </row>
    <row r="108" spans="1:29" x14ac:dyDescent="0.2">
      <c r="A108" s="2" t="s">
        <v>359</v>
      </c>
      <c r="B108" s="2" t="s">
        <v>19</v>
      </c>
      <c r="C108" s="27">
        <v>1</v>
      </c>
      <c r="D108" s="2" t="s">
        <v>108</v>
      </c>
      <c r="E108" s="2" t="str">
        <f>VLOOKUP(D108,[1]Comunas!$A:$E,5,0)</f>
        <v>Cauca</v>
      </c>
      <c r="F108" s="7" t="str">
        <f t="shared" si="3"/>
        <v>CaucaSANTANDER DE QUILICHAO</v>
      </c>
      <c r="G108" s="2" t="str">
        <f>VLOOKUP(F108,'[2]CLUSTER_MUNICIPIOS tarifas'!$D:$E,2,0)</f>
        <v>Moderado</v>
      </c>
      <c r="H108" s="2">
        <f>VLOOKUP(F108,'[3]CLUSTER_MUNICIPIOS tarifas'!$D:$F,3,0)</f>
        <v>19698</v>
      </c>
      <c r="I108" s="2" t="s">
        <v>130</v>
      </c>
      <c r="J108" s="18">
        <v>45323</v>
      </c>
      <c r="K108" s="8" t="s">
        <v>22</v>
      </c>
      <c r="L108" s="8" t="s">
        <v>23</v>
      </c>
      <c r="M108" s="5"/>
      <c r="N108" s="2">
        <v>4</v>
      </c>
      <c r="O108" s="2">
        <v>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>
        <f t="shared" si="4"/>
        <v>5</v>
      </c>
    </row>
    <row r="109" spans="1:29" x14ac:dyDescent="0.2">
      <c r="A109" s="2" t="s">
        <v>359</v>
      </c>
      <c r="B109" s="2" t="s">
        <v>19</v>
      </c>
      <c r="C109" s="27">
        <v>1</v>
      </c>
      <c r="D109" s="2" t="s">
        <v>108</v>
      </c>
      <c r="E109" s="2" t="str">
        <f>VLOOKUP(D109,[1]Comunas!$A:$E,5,0)</f>
        <v>Cauca</v>
      </c>
      <c r="F109" s="7" t="str">
        <f t="shared" si="3"/>
        <v>CaucaSANTANDER DE QUILICHAO</v>
      </c>
      <c r="G109" s="2" t="str">
        <f>VLOOKUP(F109,'[2]CLUSTER_MUNICIPIOS tarifas'!$D:$E,2,0)</f>
        <v>Moderado</v>
      </c>
      <c r="H109" s="2">
        <f>VLOOKUP(F109,'[3]CLUSTER_MUNICIPIOS tarifas'!$D:$F,3,0)</f>
        <v>19698</v>
      </c>
      <c r="I109" s="2" t="s">
        <v>131</v>
      </c>
      <c r="J109" s="18">
        <v>45323</v>
      </c>
      <c r="K109" s="8" t="s">
        <v>22</v>
      </c>
      <c r="L109" s="8" t="s">
        <v>23</v>
      </c>
      <c r="M109" s="5"/>
      <c r="N109" s="2">
        <v>5</v>
      </c>
      <c r="O109" s="2"/>
      <c r="P109" s="2"/>
      <c r="Q109" s="2">
        <v>1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>
        <f t="shared" si="4"/>
        <v>6</v>
      </c>
    </row>
    <row r="110" spans="1:29" x14ac:dyDescent="0.2">
      <c r="A110" s="2" t="s">
        <v>359</v>
      </c>
      <c r="B110" s="2" t="s">
        <v>19</v>
      </c>
      <c r="C110" s="27">
        <v>1</v>
      </c>
      <c r="D110" s="2" t="s">
        <v>108</v>
      </c>
      <c r="E110" s="2" t="str">
        <f>VLOOKUP(D110,[1]Comunas!$A:$E,5,0)</f>
        <v>Cauca</v>
      </c>
      <c r="F110" s="7" t="str">
        <f t="shared" si="3"/>
        <v>CaucaSANTANDER DE QUILICHAO</v>
      </c>
      <c r="G110" s="2" t="str">
        <f>VLOOKUP(F110,'[2]CLUSTER_MUNICIPIOS tarifas'!$D:$E,2,0)</f>
        <v>Moderado</v>
      </c>
      <c r="H110" s="2">
        <f>VLOOKUP(F110,'[3]CLUSTER_MUNICIPIOS tarifas'!$D:$F,3,0)</f>
        <v>19698</v>
      </c>
      <c r="I110" s="2" t="s">
        <v>132</v>
      </c>
      <c r="J110" s="18">
        <v>45323</v>
      </c>
      <c r="K110" s="8" t="s">
        <v>22</v>
      </c>
      <c r="L110" s="8" t="s">
        <v>23</v>
      </c>
      <c r="M110" s="5"/>
      <c r="N110" s="2">
        <v>13</v>
      </c>
      <c r="O110" s="2">
        <v>6</v>
      </c>
      <c r="P110" s="2"/>
      <c r="Q110" s="2">
        <v>2</v>
      </c>
      <c r="R110" s="2">
        <v>3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>
        <f t="shared" si="4"/>
        <v>24</v>
      </c>
    </row>
    <row r="111" spans="1:29" x14ac:dyDescent="0.2">
      <c r="A111" s="2" t="s">
        <v>359</v>
      </c>
      <c r="B111" s="2" t="s">
        <v>19</v>
      </c>
      <c r="C111" s="27">
        <v>1</v>
      </c>
      <c r="D111" s="2" t="s">
        <v>108</v>
      </c>
      <c r="E111" s="2" t="str">
        <f>VLOOKUP(D111,[1]Comunas!$A:$E,5,0)</f>
        <v>Cauca</v>
      </c>
      <c r="F111" s="7" t="str">
        <f t="shared" si="3"/>
        <v>CaucaSANTANDER DE QUILICHAO</v>
      </c>
      <c r="G111" s="2" t="str">
        <f>VLOOKUP(F111,'[2]CLUSTER_MUNICIPIOS tarifas'!$D:$E,2,0)</f>
        <v>Moderado</v>
      </c>
      <c r="H111" s="2">
        <f>VLOOKUP(F111,'[3]CLUSTER_MUNICIPIOS tarifas'!$D:$F,3,0)</f>
        <v>19698</v>
      </c>
      <c r="I111" s="2" t="s">
        <v>133</v>
      </c>
      <c r="J111" s="18">
        <v>45323</v>
      </c>
      <c r="K111" s="8" t="s">
        <v>22</v>
      </c>
      <c r="L111" s="8" t="s">
        <v>23</v>
      </c>
      <c r="M111" s="5"/>
      <c r="N111" s="2">
        <v>2</v>
      </c>
      <c r="O111" s="2"/>
      <c r="P111" s="2"/>
      <c r="Q111" s="2"/>
      <c r="R111" s="2">
        <v>1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>
        <f t="shared" si="4"/>
        <v>3</v>
      </c>
    </row>
    <row r="112" spans="1:29" x14ac:dyDescent="0.2">
      <c r="A112" s="2" t="s">
        <v>359</v>
      </c>
      <c r="B112" s="2" t="s">
        <v>19</v>
      </c>
      <c r="C112" s="27">
        <v>1</v>
      </c>
      <c r="D112" s="2" t="s">
        <v>20</v>
      </c>
      <c r="E112" s="2" t="str">
        <f>VLOOKUP(D112,[1]Comunas!$A:$E,5,0)</f>
        <v>Cauca</v>
      </c>
      <c r="F112" s="7" t="str">
        <f t="shared" si="3"/>
        <v>CaucaPOPAYAN</v>
      </c>
      <c r="G112" s="2" t="str">
        <f>VLOOKUP(F112,'[2]CLUSTER_MUNICIPIOS tarifas'!$D:$E,2,0)</f>
        <v>Moderado</v>
      </c>
      <c r="H112" s="2">
        <f>VLOOKUP(F112,'[3]CLUSTER_MUNICIPIOS tarifas'!$D:$F,3,0)</f>
        <v>19001</v>
      </c>
      <c r="I112" s="2" t="s">
        <v>134</v>
      </c>
      <c r="J112" s="18">
        <v>45323</v>
      </c>
      <c r="K112" s="8" t="s">
        <v>22</v>
      </c>
      <c r="L112" s="8" t="s">
        <v>23</v>
      </c>
      <c r="M112" s="5"/>
      <c r="N112" s="2">
        <v>3</v>
      </c>
      <c r="O112" s="2">
        <v>4</v>
      </c>
      <c r="P112" s="2"/>
      <c r="Q112" s="2">
        <v>3</v>
      </c>
      <c r="R112" s="2">
        <v>1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>
        <f t="shared" si="4"/>
        <v>11</v>
      </c>
    </row>
    <row r="113" spans="1:29" x14ac:dyDescent="0.2">
      <c r="A113" s="2" t="s">
        <v>359</v>
      </c>
      <c r="B113" s="2" t="s">
        <v>19</v>
      </c>
      <c r="C113" s="27">
        <v>1</v>
      </c>
      <c r="D113" s="2" t="s">
        <v>20</v>
      </c>
      <c r="E113" s="2" t="str">
        <f>VLOOKUP(D113,[1]Comunas!$A:$E,5,0)</f>
        <v>Cauca</v>
      </c>
      <c r="F113" s="7" t="str">
        <f t="shared" si="3"/>
        <v>CaucaPOPAYAN</v>
      </c>
      <c r="G113" s="2" t="str">
        <f>VLOOKUP(F113,'[2]CLUSTER_MUNICIPIOS tarifas'!$D:$E,2,0)</f>
        <v>Moderado</v>
      </c>
      <c r="H113" s="2">
        <f>VLOOKUP(F113,'[3]CLUSTER_MUNICIPIOS tarifas'!$D:$F,3,0)</f>
        <v>19001</v>
      </c>
      <c r="I113" s="2" t="s">
        <v>135</v>
      </c>
      <c r="J113" s="18">
        <v>45323</v>
      </c>
      <c r="K113" s="8" t="s">
        <v>22</v>
      </c>
      <c r="L113" s="8" t="s">
        <v>23</v>
      </c>
      <c r="M113" s="5"/>
      <c r="N113" s="2">
        <v>23</v>
      </c>
      <c r="O113" s="2">
        <v>1</v>
      </c>
      <c r="P113" s="2"/>
      <c r="Q113" s="2">
        <v>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>
        <f t="shared" si="4"/>
        <v>33</v>
      </c>
    </row>
    <row r="114" spans="1:29" x14ac:dyDescent="0.2">
      <c r="A114" s="2" t="s">
        <v>359</v>
      </c>
      <c r="B114" s="2" t="s">
        <v>19</v>
      </c>
      <c r="C114" s="27">
        <v>1</v>
      </c>
      <c r="D114" s="2" t="s">
        <v>20</v>
      </c>
      <c r="E114" s="2" t="str">
        <f>VLOOKUP(D114,[1]Comunas!$A:$E,5,0)</f>
        <v>Cauca</v>
      </c>
      <c r="F114" s="7" t="str">
        <f t="shared" si="3"/>
        <v>CaucaPOPAYAN</v>
      </c>
      <c r="G114" s="2" t="str">
        <f>VLOOKUP(F114,'[2]CLUSTER_MUNICIPIOS tarifas'!$D:$E,2,0)</f>
        <v>Moderado</v>
      </c>
      <c r="H114" s="2">
        <f>VLOOKUP(F114,'[3]CLUSTER_MUNICIPIOS tarifas'!$D:$F,3,0)</f>
        <v>19001</v>
      </c>
      <c r="I114" s="2" t="s">
        <v>136</v>
      </c>
      <c r="J114" s="18">
        <v>45323</v>
      </c>
      <c r="K114" s="8" t="s">
        <v>22</v>
      </c>
      <c r="L114" s="8" t="s">
        <v>23</v>
      </c>
      <c r="M114" s="5"/>
      <c r="N114" s="2">
        <v>17</v>
      </c>
      <c r="O114" s="2">
        <v>4</v>
      </c>
      <c r="P114" s="2">
        <v>2</v>
      </c>
      <c r="Q114" s="2">
        <v>8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>
        <f t="shared" si="4"/>
        <v>31</v>
      </c>
    </row>
    <row r="115" spans="1:29" x14ac:dyDescent="0.2">
      <c r="A115" s="2" t="s">
        <v>359</v>
      </c>
      <c r="B115" s="2" t="s">
        <v>19</v>
      </c>
      <c r="C115" s="27">
        <v>1</v>
      </c>
      <c r="D115" s="2" t="s">
        <v>20</v>
      </c>
      <c r="E115" s="2" t="str">
        <f>VLOOKUP(D115,[1]Comunas!$A:$E,5,0)</f>
        <v>Cauca</v>
      </c>
      <c r="F115" s="7" t="str">
        <f t="shared" si="3"/>
        <v>CaucaPOPAYAN</v>
      </c>
      <c r="G115" s="2" t="str">
        <f>VLOOKUP(F115,'[2]CLUSTER_MUNICIPIOS tarifas'!$D:$E,2,0)</f>
        <v>Moderado</v>
      </c>
      <c r="H115" s="2">
        <f>VLOOKUP(F115,'[3]CLUSTER_MUNICIPIOS tarifas'!$D:$F,3,0)</f>
        <v>19001</v>
      </c>
      <c r="I115" s="2" t="s">
        <v>137</v>
      </c>
      <c r="J115" s="18">
        <v>45323</v>
      </c>
      <c r="K115" s="8" t="s">
        <v>22</v>
      </c>
      <c r="L115" s="8" t="s">
        <v>23</v>
      </c>
      <c r="M115" s="5"/>
      <c r="N115" s="2">
        <v>31</v>
      </c>
      <c r="O115" s="2">
        <v>15</v>
      </c>
      <c r="P115" s="2">
        <v>2</v>
      </c>
      <c r="Q115" s="2">
        <v>7</v>
      </c>
      <c r="R115" s="2">
        <v>108</v>
      </c>
      <c r="S115" s="2"/>
      <c r="T115" s="2">
        <v>14</v>
      </c>
      <c r="U115" s="2"/>
      <c r="V115" s="2">
        <v>3</v>
      </c>
      <c r="W115" s="2"/>
      <c r="X115" s="2"/>
      <c r="Y115" s="2"/>
      <c r="Z115" s="2"/>
      <c r="AA115" s="2"/>
      <c r="AB115" s="2"/>
      <c r="AC115" s="2">
        <f t="shared" si="4"/>
        <v>180</v>
      </c>
    </row>
    <row r="116" spans="1:29" x14ac:dyDescent="0.2">
      <c r="A116" s="2" t="s">
        <v>359</v>
      </c>
      <c r="B116" s="2" t="s">
        <v>19</v>
      </c>
      <c r="C116" s="27">
        <v>1</v>
      </c>
      <c r="D116" s="2" t="s">
        <v>20</v>
      </c>
      <c r="E116" s="2" t="str">
        <f>VLOOKUP(D116,[1]Comunas!$A:$E,5,0)</f>
        <v>Cauca</v>
      </c>
      <c r="F116" s="7" t="str">
        <f t="shared" si="3"/>
        <v>CaucaPOPAYAN</v>
      </c>
      <c r="G116" s="2" t="str">
        <f>VLOOKUP(F116,'[2]CLUSTER_MUNICIPIOS tarifas'!$D:$E,2,0)</f>
        <v>Moderado</v>
      </c>
      <c r="H116" s="2">
        <f>VLOOKUP(F116,'[3]CLUSTER_MUNICIPIOS tarifas'!$D:$F,3,0)</f>
        <v>19001</v>
      </c>
      <c r="I116" s="2" t="s">
        <v>138</v>
      </c>
      <c r="J116" s="18">
        <v>45323</v>
      </c>
      <c r="K116" s="8" t="s">
        <v>22</v>
      </c>
      <c r="L116" s="8" t="s">
        <v>23</v>
      </c>
      <c r="M116" s="5"/>
      <c r="N116" s="2">
        <v>1</v>
      </c>
      <c r="O116" s="2"/>
      <c r="P116" s="2">
        <v>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>
        <f t="shared" si="4"/>
        <v>2</v>
      </c>
    </row>
    <row r="117" spans="1:29" x14ac:dyDescent="0.2">
      <c r="A117" s="2" t="s">
        <v>359</v>
      </c>
      <c r="B117" s="2" t="s">
        <v>19</v>
      </c>
      <c r="C117" s="27">
        <v>1</v>
      </c>
      <c r="D117" s="2" t="s">
        <v>20</v>
      </c>
      <c r="E117" s="2" t="str">
        <f>VLOOKUP(D117,[1]Comunas!$A:$E,5,0)</f>
        <v>Cauca</v>
      </c>
      <c r="F117" s="7" t="str">
        <f t="shared" si="3"/>
        <v>CaucaPOPAYAN</v>
      </c>
      <c r="G117" s="2" t="str">
        <f>VLOOKUP(F117,'[2]CLUSTER_MUNICIPIOS tarifas'!$D:$E,2,0)</f>
        <v>Moderado</v>
      </c>
      <c r="H117" s="2">
        <f>VLOOKUP(F117,'[3]CLUSTER_MUNICIPIOS tarifas'!$D:$F,3,0)</f>
        <v>19001</v>
      </c>
      <c r="I117" s="2" t="s">
        <v>139</v>
      </c>
      <c r="J117" s="18">
        <v>45323</v>
      </c>
      <c r="K117" s="8" t="s">
        <v>22</v>
      </c>
      <c r="L117" s="8" t="s">
        <v>23</v>
      </c>
      <c r="M117" s="5"/>
      <c r="N117" s="2">
        <v>1</v>
      </c>
      <c r="O117" s="2">
        <v>3</v>
      </c>
      <c r="P117" s="2"/>
      <c r="Q117" s="2"/>
      <c r="R117" s="2">
        <v>2</v>
      </c>
      <c r="S117" s="2"/>
      <c r="T117" s="2">
        <v>1</v>
      </c>
      <c r="U117" s="2"/>
      <c r="V117" s="2"/>
      <c r="W117" s="2"/>
      <c r="X117" s="2"/>
      <c r="Y117" s="2"/>
      <c r="Z117" s="2"/>
      <c r="AA117" s="2"/>
      <c r="AB117" s="2"/>
      <c r="AC117" s="2">
        <f t="shared" si="4"/>
        <v>7</v>
      </c>
    </row>
    <row r="118" spans="1:29" x14ac:dyDescent="0.2">
      <c r="A118" s="2" t="s">
        <v>359</v>
      </c>
      <c r="B118" s="2" t="s">
        <v>19</v>
      </c>
      <c r="C118" s="27">
        <v>1</v>
      </c>
      <c r="D118" s="2" t="s">
        <v>20</v>
      </c>
      <c r="E118" s="2" t="str">
        <f>VLOOKUP(D118,[1]Comunas!$A:$E,5,0)</f>
        <v>Cauca</v>
      </c>
      <c r="F118" s="7" t="str">
        <f t="shared" si="3"/>
        <v>CaucaPOPAYAN</v>
      </c>
      <c r="G118" s="2" t="str">
        <f>VLOOKUP(F118,'[2]CLUSTER_MUNICIPIOS tarifas'!$D:$E,2,0)</f>
        <v>Moderado</v>
      </c>
      <c r="H118" s="2">
        <f>VLOOKUP(F118,'[3]CLUSTER_MUNICIPIOS tarifas'!$D:$F,3,0)</f>
        <v>19001</v>
      </c>
      <c r="I118" s="2" t="s">
        <v>140</v>
      </c>
      <c r="J118" s="18">
        <v>45323</v>
      </c>
      <c r="K118" s="8" t="s">
        <v>22</v>
      </c>
      <c r="L118" s="8" t="s">
        <v>23</v>
      </c>
      <c r="M118" s="5"/>
      <c r="N118" s="2"/>
      <c r="O118" s="2"/>
      <c r="P118" s="2"/>
      <c r="Q118" s="2"/>
      <c r="R118" s="2">
        <v>1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>
        <f t="shared" si="4"/>
        <v>1</v>
      </c>
    </row>
    <row r="119" spans="1:29" x14ac:dyDescent="0.2">
      <c r="A119" s="2" t="s">
        <v>359</v>
      </c>
      <c r="B119" s="2" t="s">
        <v>19</v>
      </c>
      <c r="C119" s="27">
        <v>1</v>
      </c>
      <c r="D119" s="2" t="s">
        <v>20</v>
      </c>
      <c r="E119" s="2" t="str">
        <f>VLOOKUP(D119,[1]Comunas!$A:$E,5,0)</f>
        <v>Cauca</v>
      </c>
      <c r="F119" s="7" t="str">
        <f t="shared" si="3"/>
        <v>CaucaPOPAYAN</v>
      </c>
      <c r="G119" s="2" t="str">
        <f>VLOOKUP(F119,'[2]CLUSTER_MUNICIPIOS tarifas'!$D:$E,2,0)</f>
        <v>Moderado</v>
      </c>
      <c r="H119" s="2">
        <f>VLOOKUP(F119,'[3]CLUSTER_MUNICIPIOS tarifas'!$D:$F,3,0)</f>
        <v>19001</v>
      </c>
      <c r="I119" s="2" t="s">
        <v>141</v>
      </c>
      <c r="J119" s="18">
        <v>45323</v>
      </c>
      <c r="K119" s="8" t="s">
        <v>22</v>
      </c>
      <c r="L119" s="8" t="s">
        <v>23</v>
      </c>
      <c r="M119" s="5"/>
      <c r="N119" s="2">
        <v>18</v>
      </c>
      <c r="O119" s="2"/>
      <c r="P119" s="2"/>
      <c r="Q119" s="2">
        <v>8</v>
      </c>
      <c r="R119" s="2">
        <v>2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>
        <f t="shared" si="4"/>
        <v>28</v>
      </c>
    </row>
    <row r="120" spans="1:29" x14ac:dyDescent="0.2">
      <c r="A120" s="2" t="s">
        <v>359</v>
      </c>
      <c r="B120" s="2" t="s">
        <v>19</v>
      </c>
      <c r="C120" s="27">
        <v>1</v>
      </c>
      <c r="D120" s="2" t="s">
        <v>20</v>
      </c>
      <c r="E120" s="2" t="str">
        <f>VLOOKUP(D120,[1]Comunas!$A:$E,5,0)</f>
        <v>Cauca</v>
      </c>
      <c r="F120" s="7" t="str">
        <f t="shared" si="3"/>
        <v>CaucaPOPAYAN</v>
      </c>
      <c r="G120" s="2" t="str">
        <f>VLOOKUP(F120,'[2]CLUSTER_MUNICIPIOS tarifas'!$D:$E,2,0)</f>
        <v>Moderado</v>
      </c>
      <c r="H120" s="2">
        <f>VLOOKUP(F120,'[3]CLUSTER_MUNICIPIOS tarifas'!$D:$F,3,0)</f>
        <v>19001</v>
      </c>
      <c r="I120" s="2" t="s">
        <v>142</v>
      </c>
      <c r="J120" s="18">
        <v>45323</v>
      </c>
      <c r="K120" s="8" t="s">
        <v>22</v>
      </c>
      <c r="L120" s="8" t="s">
        <v>23</v>
      </c>
      <c r="M120" s="5"/>
      <c r="N120" s="2">
        <v>6</v>
      </c>
      <c r="O120" s="2">
        <v>2</v>
      </c>
      <c r="P120" s="2"/>
      <c r="Q120" s="2">
        <v>2</v>
      </c>
      <c r="R120" s="2">
        <v>10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>
        <f t="shared" si="4"/>
        <v>20</v>
      </c>
    </row>
    <row r="121" spans="1:29" x14ac:dyDescent="0.2">
      <c r="A121" s="2" t="s">
        <v>359</v>
      </c>
      <c r="B121" s="2" t="s">
        <v>19</v>
      </c>
      <c r="C121" s="27">
        <v>1</v>
      </c>
      <c r="D121" s="2" t="s">
        <v>20</v>
      </c>
      <c r="E121" s="2" t="str">
        <f>VLOOKUP(D121,[1]Comunas!$A:$E,5,0)</f>
        <v>Cauca</v>
      </c>
      <c r="F121" s="7" t="str">
        <f t="shared" si="3"/>
        <v>CaucaPOPAYAN</v>
      </c>
      <c r="G121" s="2" t="str">
        <f>VLOOKUP(F121,'[2]CLUSTER_MUNICIPIOS tarifas'!$D:$E,2,0)</f>
        <v>Moderado</v>
      </c>
      <c r="H121" s="2">
        <f>VLOOKUP(F121,'[3]CLUSTER_MUNICIPIOS tarifas'!$D:$F,3,0)</f>
        <v>19001</v>
      </c>
      <c r="I121" s="2" t="s">
        <v>143</v>
      </c>
      <c r="J121" s="18">
        <v>45323</v>
      </c>
      <c r="K121" s="8" t="s">
        <v>22</v>
      </c>
      <c r="L121" s="8" t="s">
        <v>23</v>
      </c>
      <c r="M121" s="5"/>
      <c r="N121" s="2">
        <v>21</v>
      </c>
      <c r="O121" s="2">
        <v>1</v>
      </c>
      <c r="P121" s="2">
        <v>4</v>
      </c>
      <c r="Q121" s="2">
        <v>2</v>
      </c>
      <c r="R121" s="2">
        <v>1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>
        <f t="shared" si="4"/>
        <v>29</v>
      </c>
    </row>
    <row r="122" spans="1:29" x14ac:dyDescent="0.2">
      <c r="A122" s="2" t="s">
        <v>359</v>
      </c>
      <c r="B122" s="2" t="s">
        <v>19</v>
      </c>
      <c r="C122" s="27">
        <v>1</v>
      </c>
      <c r="D122" s="2" t="s">
        <v>20</v>
      </c>
      <c r="E122" s="2" t="str">
        <f>VLOOKUP(D122,[1]Comunas!$A:$E,5,0)</f>
        <v>Cauca</v>
      </c>
      <c r="F122" s="7" t="str">
        <f t="shared" si="3"/>
        <v>CaucaPOPAYAN</v>
      </c>
      <c r="G122" s="2" t="str">
        <f>VLOOKUP(F122,'[2]CLUSTER_MUNICIPIOS tarifas'!$D:$E,2,0)</f>
        <v>Moderado</v>
      </c>
      <c r="H122" s="2">
        <f>VLOOKUP(F122,'[3]CLUSTER_MUNICIPIOS tarifas'!$D:$F,3,0)</f>
        <v>19001</v>
      </c>
      <c r="I122" s="2" t="s">
        <v>144</v>
      </c>
      <c r="J122" s="18">
        <v>45323</v>
      </c>
      <c r="K122" s="8" t="s">
        <v>22</v>
      </c>
      <c r="L122" s="8" t="s">
        <v>23</v>
      </c>
      <c r="M122" s="5"/>
      <c r="N122" s="2"/>
      <c r="O122" s="2">
        <v>2</v>
      </c>
      <c r="P122" s="2"/>
      <c r="Q122" s="2">
        <v>3</v>
      </c>
      <c r="R122" s="2">
        <v>3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>
        <f t="shared" si="4"/>
        <v>8</v>
      </c>
    </row>
    <row r="123" spans="1:29" x14ac:dyDescent="0.2">
      <c r="A123" s="2" t="s">
        <v>359</v>
      </c>
      <c r="B123" s="2" t="s">
        <v>19</v>
      </c>
      <c r="C123" s="27">
        <v>1</v>
      </c>
      <c r="D123" s="2" t="s">
        <v>20</v>
      </c>
      <c r="E123" s="2" t="str">
        <f>VLOOKUP(D123,[1]Comunas!$A:$E,5,0)</f>
        <v>Cauca</v>
      </c>
      <c r="F123" s="7" t="str">
        <f t="shared" si="3"/>
        <v>CaucaPOPAYAN</v>
      </c>
      <c r="G123" s="2" t="str">
        <f>VLOOKUP(F123,'[2]CLUSTER_MUNICIPIOS tarifas'!$D:$E,2,0)</f>
        <v>Moderado</v>
      </c>
      <c r="H123" s="2">
        <f>VLOOKUP(F123,'[3]CLUSTER_MUNICIPIOS tarifas'!$D:$F,3,0)</f>
        <v>19001</v>
      </c>
      <c r="I123" s="2" t="s">
        <v>145</v>
      </c>
      <c r="J123" s="18">
        <v>45323</v>
      </c>
      <c r="K123" s="8" t="s">
        <v>22</v>
      </c>
      <c r="L123" s="8" t="s">
        <v>23</v>
      </c>
      <c r="M123" s="5"/>
      <c r="N123" s="2">
        <v>1</v>
      </c>
      <c r="O123" s="2"/>
      <c r="P123" s="2"/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>
        <f t="shared" si="4"/>
        <v>2</v>
      </c>
    </row>
    <row r="124" spans="1:29" x14ac:dyDescent="0.2">
      <c r="A124" s="2" t="s">
        <v>359</v>
      </c>
      <c r="B124" s="2" t="s">
        <v>19</v>
      </c>
      <c r="C124" s="27">
        <v>1</v>
      </c>
      <c r="D124" s="2" t="s">
        <v>20</v>
      </c>
      <c r="E124" s="2" t="str">
        <f>VLOOKUP(D124,[1]Comunas!$A:$E,5,0)</f>
        <v>Cauca</v>
      </c>
      <c r="F124" s="7" t="str">
        <f t="shared" si="3"/>
        <v>CaucaPOPAYAN</v>
      </c>
      <c r="G124" s="2" t="str">
        <f>VLOOKUP(F124,'[2]CLUSTER_MUNICIPIOS tarifas'!$D:$E,2,0)</f>
        <v>Moderado</v>
      </c>
      <c r="H124" s="2">
        <f>VLOOKUP(F124,'[3]CLUSTER_MUNICIPIOS tarifas'!$D:$F,3,0)</f>
        <v>19001</v>
      </c>
      <c r="I124" s="2" t="s">
        <v>146</v>
      </c>
      <c r="J124" s="18">
        <v>45323</v>
      </c>
      <c r="K124" s="8" t="s">
        <v>22</v>
      </c>
      <c r="L124" s="8" t="s">
        <v>23</v>
      </c>
      <c r="M124" s="5"/>
      <c r="N124" s="2"/>
      <c r="O124" s="2"/>
      <c r="P124" s="2"/>
      <c r="Q124" s="2">
        <v>1</v>
      </c>
      <c r="R124" s="2">
        <v>1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>
        <f t="shared" si="4"/>
        <v>2</v>
      </c>
    </row>
    <row r="125" spans="1:29" x14ac:dyDescent="0.2">
      <c r="A125" s="2" t="s">
        <v>359</v>
      </c>
      <c r="B125" s="2" t="s">
        <v>19</v>
      </c>
      <c r="C125" s="27">
        <v>1</v>
      </c>
      <c r="D125" s="2" t="s">
        <v>20</v>
      </c>
      <c r="E125" s="2" t="str">
        <f>VLOOKUP(D125,[1]Comunas!$A:$E,5,0)</f>
        <v>Cauca</v>
      </c>
      <c r="F125" s="7" t="str">
        <f t="shared" si="3"/>
        <v>CaucaPOPAYAN</v>
      </c>
      <c r="G125" s="2" t="str">
        <f>VLOOKUP(F125,'[2]CLUSTER_MUNICIPIOS tarifas'!$D:$E,2,0)</f>
        <v>Moderado</v>
      </c>
      <c r="H125" s="2">
        <f>VLOOKUP(F125,'[3]CLUSTER_MUNICIPIOS tarifas'!$D:$F,3,0)</f>
        <v>19001</v>
      </c>
      <c r="I125" s="2" t="s">
        <v>147</v>
      </c>
      <c r="J125" s="18">
        <v>45323</v>
      </c>
      <c r="K125" s="8" t="s">
        <v>22</v>
      </c>
      <c r="L125" s="8" t="s">
        <v>23</v>
      </c>
      <c r="M125" s="5"/>
      <c r="N125" s="2">
        <v>2</v>
      </c>
      <c r="O125" s="2">
        <v>1</v>
      </c>
      <c r="P125" s="2">
        <v>1</v>
      </c>
      <c r="Q125" s="2"/>
      <c r="R125" s="2">
        <v>6</v>
      </c>
      <c r="S125" s="2"/>
      <c r="T125" s="2">
        <v>2</v>
      </c>
      <c r="U125" s="2"/>
      <c r="V125" s="2"/>
      <c r="W125" s="2"/>
      <c r="X125" s="2"/>
      <c r="Y125" s="2"/>
      <c r="Z125" s="2"/>
      <c r="AA125" s="2"/>
      <c r="AB125" s="2"/>
      <c r="AC125" s="2">
        <f t="shared" si="4"/>
        <v>12</v>
      </c>
    </row>
    <row r="126" spans="1:29" x14ac:dyDescent="0.2">
      <c r="A126" s="2" t="s">
        <v>359</v>
      </c>
      <c r="B126" s="2" t="s">
        <v>19</v>
      </c>
      <c r="C126" s="27">
        <v>1</v>
      </c>
      <c r="D126" s="2" t="s">
        <v>20</v>
      </c>
      <c r="E126" s="2" t="str">
        <f>VLOOKUP(D126,[1]Comunas!$A:$E,5,0)</f>
        <v>Cauca</v>
      </c>
      <c r="F126" s="7" t="str">
        <f t="shared" si="3"/>
        <v>CaucaPOPAYAN</v>
      </c>
      <c r="G126" s="2" t="str">
        <f>VLOOKUP(F126,'[2]CLUSTER_MUNICIPIOS tarifas'!$D:$E,2,0)</f>
        <v>Moderado</v>
      </c>
      <c r="H126" s="2">
        <f>VLOOKUP(F126,'[3]CLUSTER_MUNICIPIOS tarifas'!$D:$F,3,0)</f>
        <v>19001</v>
      </c>
      <c r="I126" s="2" t="s">
        <v>148</v>
      </c>
      <c r="J126" s="18">
        <v>45323</v>
      </c>
      <c r="K126" s="8" t="s">
        <v>22</v>
      </c>
      <c r="L126" s="8" t="s">
        <v>23</v>
      </c>
      <c r="M126" s="5"/>
      <c r="N126" s="2">
        <v>6</v>
      </c>
      <c r="O126" s="2">
        <v>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>
        <f t="shared" si="4"/>
        <v>7</v>
      </c>
    </row>
    <row r="127" spans="1:29" x14ac:dyDescent="0.2">
      <c r="A127" s="2" t="s">
        <v>359</v>
      </c>
      <c r="B127" s="2" t="s">
        <v>19</v>
      </c>
      <c r="C127" s="27">
        <v>1</v>
      </c>
      <c r="D127" s="2" t="s">
        <v>20</v>
      </c>
      <c r="E127" s="2" t="str">
        <f>VLOOKUP(D127,[1]Comunas!$A:$E,5,0)</f>
        <v>Cauca</v>
      </c>
      <c r="F127" s="7" t="str">
        <f t="shared" si="3"/>
        <v>CaucaPOPAYAN</v>
      </c>
      <c r="G127" s="2" t="str">
        <f>VLOOKUP(F127,'[2]CLUSTER_MUNICIPIOS tarifas'!$D:$E,2,0)</f>
        <v>Moderado</v>
      </c>
      <c r="H127" s="2">
        <f>VLOOKUP(F127,'[3]CLUSTER_MUNICIPIOS tarifas'!$D:$F,3,0)</f>
        <v>19001</v>
      </c>
      <c r="I127" s="2" t="s">
        <v>149</v>
      </c>
      <c r="J127" s="18">
        <v>45323</v>
      </c>
      <c r="K127" s="8" t="s">
        <v>22</v>
      </c>
      <c r="L127" s="8" t="s">
        <v>23</v>
      </c>
      <c r="M127" s="5"/>
      <c r="N127" s="2">
        <v>2</v>
      </c>
      <c r="O127" s="2"/>
      <c r="P127" s="2"/>
      <c r="Q127" s="2">
        <v>2</v>
      </c>
      <c r="R127" s="2">
        <v>5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>
        <f t="shared" si="4"/>
        <v>9</v>
      </c>
    </row>
    <row r="128" spans="1:29" x14ac:dyDescent="0.2">
      <c r="A128" s="2" t="s">
        <v>359</v>
      </c>
      <c r="B128" s="2" t="s">
        <v>19</v>
      </c>
      <c r="C128" s="27">
        <v>1</v>
      </c>
      <c r="D128" s="2" t="s">
        <v>20</v>
      </c>
      <c r="E128" s="2" t="str">
        <f>VLOOKUP(D128,[1]Comunas!$A:$E,5,0)</f>
        <v>Cauca</v>
      </c>
      <c r="F128" s="7" t="str">
        <f t="shared" si="3"/>
        <v>CaucaPOPAYAN</v>
      </c>
      <c r="G128" s="2" t="str">
        <f>VLOOKUP(F128,'[2]CLUSTER_MUNICIPIOS tarifas'!$D:$E,2,0)</f>
        <v>Moderado</v>
      </c>
      <c r="H128" s="2">
        <f>VLOOKUP(F128,'[3]CLUSTER_MUNICIPIOS tarifas'!$D:$F,3,0)</f>
        <v>19001</v>
      </c>
      <c r="I128" s="2" t="s">
        <v>150</v>
      </c>
      <c r="J128" s="18">
        <v>45323</v>
      </c>
      <c r="K128" s="8" t="s">
        <v>22</v>
      </c>
      <c r="L128" s="8" t="s">
        <v>23</v>
      </c>
      <c r="M128" s="5"/>
      <c r="N128" s="2">
        <v>22</v>
      </c>
      <c r="O128" s="2">
        <v>3</v>
      </c>
      <c r="P128" s="2">
        <v>1</v>
      </c>
      <c r="Q128" s="2">
        <v>7</v>
      </c>
      <c r="R128" s="2">
        <v>8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>
        <f t="shared" si="4"/>
        <v>41</v>
      </c>
    </row>
    <row r="129" spans="1:29" x14ac:dyDescent="0.2">
      <c r="A129" s="2" t="s">
        <v>359</v>
      </c>
      <c r="B129" s="2" t="s">
        <v>19</v>
      </c>
      <c r="C129" s="27">
        <v>1</v>
      </c>
      <c r="D129" s="2" t="s">
        <v>20</v>
      </c>
      <c r="E129" s="2" t="str">
        <f>VLOOKUP(D129,[1]Comunas!$A:$E,5,0)</f>
        <v>Cauca</v>
      </c>
      <c r="F129" s="7" t="str">
        <f t="shared" si="3"/>
        <v>CaucaPOPAYAN</v>
      </c>
      <c r="G129" s="2" t="str">
        <f>VLOOKUP(F129,'[2]CLUSTER_MUNICIPIOS tarifas'!$D:$E,2,0)</f>
        <v>Moderado</v>
      </c>
      <c r="H129" s="2">
        <f>VLOOKUP(F129,'[3]CLUSTER_MUNICIPIOS tarifas'!$D:$F,3,0)</f>
        <v>19001</v>
      </c>
      <c r="I129" s="2" t="s">
        <v>151</v>
      </c>
      <c r="J129" s="18">
        <v>45323</v>
      </c>
      <c r="K129" s="8" t="s">
        <v>22</v>
      </c>
      <c r="L129" s="8" t="s">
        <v>23</v>
      </c>
      <c r="M129" s="5"/>
      <c r="N129" s="2">
        <v>10</v>
      </c>
      <c r="O129" s="2">
        <v>1</v>
      </c>
      <c r="P129" s="2"/>
      <c r="Q129" s="2">
        <v>4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>
        <f t="shared" si="4"/>
        <v>15</v>
      </c>
    </row>
    <row r="130" spans="1:29" x14ac:dyDescent="0.2">
      <c r="A130" s="2" t="s">
        <v>359</v>
      </c>
      <c r="B130" s="2" t="s">
        <v>19</v>
      </c>
      <c r="C130" s="27">
        <v>1</v>
      </c>
      <c r="D130" s="2" t="s">
        <v>20</v>
      </c>
      <c r="E130" s="2" t="str">
        <f>VLOOKUP(D130,[1]Comunas!$A:$E,5,0)</f>
        <v>Cauca</v>
      </c>
      <c r="F130" s="7" t="str">
        <f t="shared" ref="F130:F193" si="5">CONCATENATE(E130,D130)</f>
        <v>CaucaPOPAYAN</v>
      </c>
      <c r="G130" s="2" t="str">
        <f>VLOOKUP(F130,'[2]CLUSTER_MUNICIPIOS tarifas'!$D:$E,2,0)</f>
        <v>Moderado</v>
      </c>
      <c r="H130" s="2">
        <f>VLOOKUP(F130,'[3]CLUSTER_MUNICIPIOS tarifas'!$D:$F,3,0)</f>
        <v>19001</v>
      </c>
      <c r="I130" s="2" t="s">
        <v>152</v>
      </c>
      <c r="J130" s="18">
        <v>45323</v>
      </c>
      <c r="K130" s="8" t="s">
        <v>22</v>
      </c>
      <c r="L130" s="8" t="s">
        <v>23</v>
      </c>
      <c r="M130" s="5"/>
      <c r="N130" s="2">
        <v>25</v>
      </c>
      <c r="O130" s="2"/>
      <c r="P130" s="2"/>
      <c r="Q130" s="2">
        <v>1</v>
      </c>
      <c r="R130" s="2">
        <v>8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>
        <f t="shared" si="4"/>
        <v>34</v>
      </c>
    </row>
    <row r="131" spans="1:29" x14ac:dyDescent="0.2">
      <c r="A131" s="2" t="s">
        <v>359</v>
      </c>
      <c r="B131" s="2" t="s">
        <v>19</v>
      </c>
      <c r="C131" s="27">
        <v>1</v>
      </c>
      <c r="D131" s="2" t="s">
        <v>20</v>
      </c>
      <c r="E131" s="2" t="str">
        <f>VLOOKUP(D131,[1]Comunas!$A:$E,5,0)</f>
        <v>Cauca</v>
      </c>
      <c r="F131" s="7" t="str">
        <f t="shared" si="5"/>
        <v>CaucaPOPAYAN</v>
      </c>
      <c r="G131" s="2" t="str">
        <f>VLOOKUP(F131,'[2]CLUSTER_MUNICIPIOS tarifas'!$D:$E,2,0)</f>
        <v>Moderado</v>
      </c>
      <c r="H131" s="2">
        <f>VLOOKUP(F131,'[3]CLUSTER_MUNICIPIOS tarifas'!$D:$F,3,0)</f>
        <v>19001</v>
      </c>
      <c r="I131" s="2" t="s">
        <v>153</v>
      </c>
      <c r="J131" s="18">
        <v>45323</v>
      </c>
      <c r="K131" s="8" t="s">
        <v>22</v>
      </c>
      <c r="L131" s="8" t="s">
        <v>23</v>
      </c>
      <c r="M131" s="5"/>
      <c r="N131" s="2">
        <v>13</v>
      </c>
      <c r="O131" s="2">
        <v>1</v>
      </c>
      <c r="P131" s="2"/>
      <c r="Q131" s="2">
        <v>11</v>
      </c>
      <c r="R131" s="2">
        <v>5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>
        <f t="shared" ref="AC131:AC194" si="6">SUM(N131:Z131)</f>
        <v>30</v>
      </c>
    </row>
    <row r="132" spans="1:29" x14ac:dyDescent="0.2">
      <c r="A132" s="2" t="s">
        <v>359</v>
      </c>
      <c r="B132" s="2" t="s">
        <v>19</v>
      </c>
      <c r="C132" s="27">
        <v>1</v>
      </c>
      <c r="D132" s="2" t="s">
        <v>20</v>
      </c>
      <c r="E132" s="2" t="str">
        <f>VLOOKUP(D132,[1]Comunas!$A:$E,5,0)</f>
        <v>Cauca</v>
      </c>
      <c r="F132" s="7" t="str">
        <f t="shared" si="5"/>
        <v>CaucaPOPAYAN</v>
      </c>
      <c r="G132" s="2" t="str">
        <f>VLOOKUP(F132,'[2]CLUSTER_MUNICIPIOS tarifas'!$D:$E,2,0)</f>
        <v>Moderado</v>
      </c>
      <c r="H132" s="2">
        <f>VLOOKUP(F132,'[3]CLUSTER_MUNICIPIOS tarifas'!$D:$F,3,0)</f>
        <v>19001</v>
      </c>
      <c r="I132" s="2" t="s">
        <v>154</v>
      </c>
      <c r="J132" s="18">
        <v>45323</v>
      </c>
      <c r="K132" s="8" t="s">
        <v>22</v>
      </c>
      <c r="L132" s="8" t="s">
        <v>23</v>
      </c>
      <c r="M132" s="5"/>
      <c r="N132" s="2">
        <v>25</v>
      </c>
      <c r="O132" s="2">
        <v>4</v>
      </c>
      <c r="P132" s="2"/>
      <c r="Q132" s="2">
        <v>1</v>
      </c>
      <c r="R132" s="2">
        <v>5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>
        <f t="shared" si="6"/>
        <v>35</v>
      </c>
    </row>
    <row r="133" spans="1:29" x14ac:dyDescent="0.2">
      <c r="A133" s="2" t="s">
        <v>359</v>
      </c>
      <c r="B133" s="2" t="s">
        <v>19</v>
      </c>
      <c r="C133" s="27">
        <v>1</v>
      </c>
      <c r="D133" s="2" t="s">
        <v>20</v>
      </c>
      <c r="E133" s="2" t="str">
        <f>VLOOKUP(D133,[1]Comunas!$A:$E,5,0)</f>
        <v>Cauca</v>
      </c>
      <c r="F133" s="7" t="str">
        <f t="shared" si="5"/>
        <v>CaucaPOPAYAN</v>
      </c>
      <c r="G133" s="2" t="str">
        <f>VLOOKUP(F133,'[2]CLUSTER_MUNICIPIOS tarifas'!$D:$E,2,0)</f>
        <v>Moderado</v>
      </c>
      <c r="H133" s="2">
        <f>VLOOKUP(F133,'[3]CLUSTER_MUNICIPIOS tarifas'!$D:$F,3,0)</f>
        <v>19001</v>
      </c>
      <c r="I133" s="2" t="s">
        <v>155</v>
      </c>
      <c r="J133" s="18">
        <v>45323</v>
      </c>
      <c r="K133" s="8" t="s">
        <v>22</v>
      </c>
      <c r="L133" s="8" t="s">
        <v>23</v>
      </c>
      <c r="M133" s="5"/>
      <c r="N133" s="2">
        <v>10</v>
      </c>
      <c r="O133" s="2">
        <v>1</v>
      </c>
      <c r="P133" s="2"/>
      <c r="Q133" s="2">
        <v>8</v>
      </c>
      <c r="R133" s="2">
        <v>5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>
        <f t="shared" si="6"/>
        <v>24</v>
      </c>
    </row>
    <row r="134" spans="1:29" x14ac:dyDescent="0.2">
      <c r="A134" s="2" t="s">
        <v>359</v>
      </c>
      <c r="B134" s="2" t="s">
        <v>19</v>
      </c>
      <c r="C134" s="27">
        <v>1</v>
      </c>
      <c r="D134" s="2" t="s">
        <v>108</v>
      </c>
      <c r="E134" s="2" t="str">
        <f>VLOOKUP(D134,[1]Comunas!$A:$E,5,0)</f>
        <v>Cauca</v>
      </c>
      <c r="F134" s="7" t="str">
        <f t="shared" si="5"/>
        <v>CaucaSANTANDER DE QUILICHAO</v>
      </c>
      <c r="G134" s="2" t="str">
        <f>VLOOKUP(F134,'[2]CLUSTER_MUNICIPIOS tarifas'!$D:$E,2,0)</f>
        <v>Moderado</v>
      </c>
      <c r="H134" s="2">
        <f>VLOOKUP(F134,'[3]CLUSTER_MUNICIPIOS tarifas'!$D:$F,3,0)</f>
        <v>19698</v>
      </c>
      <c r="I134" s="2" t="s">
        <v>156</v>
      </c>
      <c r="J134" s="18">
        <v>45323</v>
      </c>
      <c r="K134" s="8" t="s">
        <v>22</v>
      </c>
      <c r="L134" s="8" t="s">
        <v>23</v>
      </c>
      <c r="M134" s="5"/>
      <c r="N134" s="2"/>
      <c r="O134" s="2">
        <v>35</v>
      </c>
      <c r="P134" s="2"/>
      <c r="Q134" s="2">
        <v>7</v>
      </c>
      <c r="R134" s="2">
        <v>3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>
        <f t="shared" si="6"/>
        <v>45</v>
      </c>
    </row>
    <row r="135" spans="1:29" x14ac:dyDescent="0.2">
      <c r="A135" s="2" t="s">
        <v>359</v>
      </c>
      <c r="B135" s="2" t="s">
        <v>19</v>
      </c>
      <c r="C135" s="27">
        <v>1</v>
      </c>
      <c r="D135" s="2" t="s">
        <v>108</v>
      </c>
      <c r="E135" s="2" t="str">
        <f>VLOOKUP(D135,[1]Comunas!$A:$E,5,0)</f>
        <v>Cauca</v>
      </c>
      <c r="F135" s="7" t="str">
        <f t="shared" si="5"/>
        <v>CaucaSANTANDER DE QUILICHAO</v>
      </c>
      <c r="G135" s="2" t="str">
        <f>VLOOKUP(F135,'[2]CLUSTER_MUNICIPIOS tarifas'!$D:$E,2,0)</f>
        <v>Moderado</v>
      </c>
      <c r="H135" s="2">
        <f>VLOOKUP(F135,'[3]CLUSTER_MUNICIPIOS tarifas'!$D:$F,3,0)</f>
        <v>19698</v>
      </c>
      <c r="I135" s="2" t="s">
        <v>157</v>
      </c>
      <c r="J135" s="18">
        <v>45323</v>
      </c>
      <c r="K135" s="8" t="s">
        <v>22</v>
      </c>
      <c r="L135" s="8" t="s">
        <v>23</v>
      </c>
      <c r="M135" s="5"/>
      <c r="N135" s="2">
        <v>16</v>
      </c>
      <c r="O135" s="2">
        <v>21</v>
      </c>
      <c r="P135" s="2"/>
      <c r="Q135" s="2">
        <v>7</v>
      </c>
      <c r="R135" s="2">
        <v>3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>
        <f t="shared" si="6"/>
        <v>47</v>
      </c>
    </row>
    <row r="136" spans="1:29" x14ac:dyDescent="0.2">
      <c r="A136" s="2" t="s">
        <v>359</v>
      </c>
      <c r="B136" s="2" t="s">
        <v>19</v>
      </c>
      <c r="C136" s="27">
        <v>1</v>
      </c>
      <c r="D136" s="2" t="s">
        <v>108</v>
      </c>
      <c r="E136" s="2" t="str">
        <f>VLOOKUP(D136,[1]Comunas!$A:$E,5,0)</f>
        <v>Cauca</v>
      </c>
      <c r="F136" s="7" t="str">
        <f t="shared" si="5"/>
        <v>CaucaSANTANDER DE QUILICHAO</v>
      </c>
      <c r="G136" s="2" t="str">
        <f>VLOOKUP(F136,'[2]CLUSTER_MUNICIPIOS tarifas'!$D:$E,2,0)</f>
        <v>Moderado</v>
      </c>
      <c r="H136" s="2">
        <f>VLOOKUP(F136,'[3]CLUSTER_MUNICIPIOS tarifas'!$D:$F,3,0)</f>
        <v>19698</v>
      </c>
      <c r="I136" s="2" t="s">
        <v>158</v>
      </c>
      <c r="J136" s="18">
        <v>45323</v>
      </c>
      <c r="K136" s="8" t="s">
        <v>22</v>
      </c>
      <c r="L136" s="8" t="s">
        <v>23</v>
      </c>
      <c r="M136" s="5"/>
      <c r="N136" s="2">
        <v>9</v>
      </c>
      <c r="O136" s="2"/>
      <c r="P136" s="2"/>
      <c r="Q136" s="2">
        <v>2</v>
      </c>
      <c r="R136" s="2">
        <v>14</v>
      </c>
      <c r="S136" s="2"/>
      <c r="T136" s="2">
        <v>1</v>
      </c>
      <c r="U136" s="2"/>
      <c r="V136" s="2"/>
      <c r="W136" s="2"/>
      <c r="X136" s="2"/>
      <c r="Y136" s="2"/>
      <c r="Z136" s="2"/>
      <c r="AA136" s="2"/>
      <c r="AB136" s="2"/>
      <c r="AC136" s="2">
        <f t="shared" si="6"/>
        <v>26</v>
      </c>
    </row>
    <row r="137" spans="1:29" x14ac:dyDescent="0.2">
      <c r="A137" s="2" t="s">
        <v>359</v>
      </c>
      <c r="B137" s="2" t="s">
        <v>19</v>
      </c>
      <c r="C137" s="27">
        <v>1</v>
      </c>
      <c r="D137" s="2" t="s">
        <v>108</v>
      </c>
      <c r="E137" s="2" t="str">
        <f>VLOOKUP(D137,[1]Comunas!$A:$E,5,0)</f>
        <v>Cauca</v>
      </c>
      <c r="F137" s="7" t="str">
        <f t="shared" si="5"/>
        <v>CaucaSANTANDER DE QUILICHAO</v>
      </c>
      <c r="G137" s="2" t="str">
        <f>VLOOKUP(F137,'[2]CLUSTER_MUNICIPIOS tarifas'!$D:$E,2,0)</f>
        <v>Moderado</v>
      </c>
      <c r="H137" s="2">
        <f>VLOOKUP(F137,'[3]CLUSTER_MUNICIPIOS tarifas'!$D:$F,3,0)</f>
        <v>19698</v>
      </c>
      <c r="I137" s="2" t="s">
        <v>159</v>
      </c>
      <c r="J137" s="18">
        <v>45323</v>
      </c>
      <c r="K137" s="8" t="s">
        <v>22</v>
      </c>
      <c r="L137" s="8" t="s">
        <v>23</v>
      </c>
      <c r="M137" s="5"/>
      <c r="N137" s="2">
        <v>15</v>
      </c>
      <c r="O137" s="2">
        <v>3</v>
      </c>
      <c r="P137" s="2"/>
      <c r="Q137" s="2">
        <v>5</v>
      </c>
      <c r="R137" s="2">
        <v>4</v>
      </c>
      <c r="S137" s="2"/>
      <c r="T137" s="2"/>
      <c r="U137" s="2">
        <v>1</v>
      </c>
      <c r="V137" s="2"/>
      <c r="W137" s="2"/>
      <c r="X137" s="2"/>
      <c r="Y137" s="2"/>
      <c r="Z137" s="2"/>
      <c r="AA137" s="2"/>
      <c r="AB137" s="2"/>
      <c r="AC137" s="2">
        <f t="shared" si="6"/>
        <v>28</v>
      </c>
    </row>
    <row r="138" spans="1:29" x14ac:dyDescent="0.2">
      <c r="A138" s="2" t="s">
        <v>359</v>
      </c>
      <c r="B138" s="2" t="s">
        <v>19</v>
      </c>
      <c r="C138" s="27">
        <v>1</v>
      </c>
      <c r="D138" s="2" t="s">
        <v>108</v>
      </c>
      <c r="E138" s="2" t="str">
        <f>VLOOKUP(D138,[1]Comunas!$A:$E,5,0)</f>
        <v>Cauca</v>
      </c>
      <c r="F138" s="7" t="str">
        <f t="shared" si="5"/>
        <v>CaucaSANTANDER DE QUILICHAO</v>
      </c>
      <c r="G138" s="2" t="str">
        <f>VLOOKUP(F138,'[2]CLUSTER_MUNICIPIOS tarifas'!$D:$E,2,0)</f>
        <v>Moderado</v>
      </c>
      <c r="H138" s="2">
        <f>VLOOKUP(F138,'[3]CLUSTER_MUNICIPIOS tarifas'!$D:$F,3,0)</f>
        <v>19698</v>
      </c>
      <c r="I138" s="2" t="s">
        <v>160</v>
      </c>
      <c r="J138" s="18">
        <v>45323</v>
      </c>
      <c r="K138" s="8" t="s">
        <v>22</v>
      </c>
      <c r="L138" s="8" t="s">
        <v>23</v>
      </c>
      <c r="M138" s="5"/>
      <c r="N138" s="2">
        <v>15</v>
      </c>
      <c r="O138" s="2">
        <v>2</v>
      </c>
      <c r="P138" s="2"/>
      <c r="Q138" s="2">
        <v>3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>
        <f t="shared" si="6"/>
        <v>20</v>
      </c>
    </row>
    <row r="139" spans="1:29" x14ac:dyDescent="0.2">
      <c r="A139" s="2" t="s">
        <v>359</v>
      </c>
      <c r="B139" s="2" t="s">
        <v>19</v>
      </c>
      <c r="C139" s="27">
        <v>1</v>
      </c>
      <c r="D139" s="2" t="s">
        <v>108</v>
      </c>
      <c r="E139" s="2" t="str">
        <f>VLOOKUP(D139,[1]Comunas!$A:$E,5,0)</f>
        <v>Cauca</v>
      </c>
      <c r="F139" s="7" t="str">
        <f t="shared" si="5"/>
        <v>CaucaSANTANDER DE QUILICHAO</v>
      </c>
      <c r="G139" s="2" t="str">
        <f>VLOOKUP(F139,'[2]CLUSTER_MUNICIPIOS tarifas'!$D:$E,2,0)</f>
        <v>Moderado</v>
      </c>
      <c r="H139" s="2">
        <f>VLOOKUP(F139,'[3]CLUSTER_MUNICIPIOS tarifas'!$D:$F,3,0)</f>
        <v>19698</v>
      </c>
      <c r="I139" s="2" t="s">
        <v>161</v>
      </c>
      <c r="J139" s="18">
        <v>45323</v>
      </c>
      <c r="K139" s="8" t="s">
        <v>22</v>
      </c>
      <c r="L139" s="8" t="s">
        <v>23</v>
      </c>
      <c r="M139" s="5"/>
      <c r="N139" s="2">
        <v>28</v>
      </c>
      <c r="O139" s="2">
        <v>5</v>
      </c>
      <c r="P139" s="2"/>
      <c r="Q139" s="2">
        <v>18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>
        <f t="shared" si="6"/>
        <v>51</v>
      </c>
    </row>
    <row r="140" spans="1:29" x14ac:dyDescent="0.2">
      <c r="A140" s="2" t="s">
        <v>359</v>
      </c>
      <c r="B140" s="2" t="s">
        <v>19</v>
      </c>
      <c r="C140" s="27">
        <v>1</v>
      </c>
      <c r="D140" s="2" t="s">
        <v>108</v>
      </c>
      <c r="E140" s="2" t="str">
        <f>VLOOKUP(D140,[1]Comunas!$A:$E,5,0)</f>
        <v>Cauca</v>
      </c>
      <c r="F140" s="7" t="str">
        <f t="shared" si="5"/>
        <v>CaucaSANTANDER DE QUILICHAO</v>
      </c>
      <c r="G140" s="2" t="str">
        <f>VLOOKUP(F140,'[2]CLUSTER_MUNICIPIOS tarifas'!$D:$E,2,0)</f>
        <v>Moderado</v>
      </c>
      <c r="H140" s="2">
        <f>VLOOKUP(F140,'[3]CLUSTER_MUNICIPIOS tarifas'!$D:$F,3,0)</f>
        <v>19698</v>
      </c>
      <c r="I140" s="2" t="s">
        <v>162</v>
      </c>
      <c r="J140" s="18">
        <v>45323</v>
      </c>
      <c r="K140" s="8" t="s">
        <v>22</v>
      </c>
      <c r="L140" s="8" t="s">
        <v>23</v>
      </c>
      <c r="M140" s="5"/>
      <c r="N140" s="2">
        <v>2</v>
      </c>
      <c r="O140" s="2"/>
      <c r="P140" s="2"/>
      <c r="Q140" s="2">
        <v>3</v>
      </c>
      <c r="R140" s="2">
        <v>1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>
        <f t="shared" si="6"/>
        <v>6</v>
      </c>
    </row>
    <row r="141" spans="1:29" x14ac:dyDescent="0.2">
      <c r="A141" s="2" t="s">
        <v>359</v>
      </c>
      <c r="B141" s="2" t="s">
        <v>19</v>
      </c>
      <c r="C141" s="27">
        <v>1</v>
      </c>
      <c r="D141" s="2" t="s">
        <v>108</v>
      </c>
      <c r="E141" s="2" t="str">
        <f>VLOOKUP(D141,[1]Comunas!$A:$E,5,0)</f>
        <v>Cauca</v>
      </c>
      <c r="F141" s="7" t="str">
        <f t="shared" si="5"/>
        <v>CaucaSANTANDER DE QUILICHAO</v>
      </c>
      <c r="G141" s="2" t="str">
        <f>VLOOKUP(F141,'[2]CLUSTER_MUNICIPIOS tarifas'!$D:$E,2,0)</f>
        <v>Moderado</v>
      </c>
      <c r="H141" s="2">
        <f>VLOOKUP(F141,'[3]CLUSTER_MUNICIPIOS tarifas'!$D:$F,3,0)</f>
        <v>19698</v>
      </c>
      <c r="I141" s="2" t="s">
        <v>163</v>
      </c>
      <c r="J141" s="18">
        <v>45323</v>
      </c>
      <c r="K141" s="8" t="s">
        <v>22</v>
      </c>
      <c r="L141" s="8" t="s">
        <v>23</v>
      </c>
      <c r="M141" s="5"/>
      <c r="N141" s="2">
        <v>5</v>
      </c>
      <c r="O141" s="2"/>
      <c r="P141" s="2"/>
      <c r="Q141" s="2">
        <v>4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>
        <f t="shared" si="6"/>
        <v>9</v>
      </c>
    </row>
    <row r="142" spans="1:29" x14ac:dyDescent="0.2">
      <c r="A142" s="2" t="s">
        <v>359</v>
      </c>
      <c r="B142" s="2" t="s">
        <v>19</v>
      </c>
      <c r="C142" s="27">
        <v>1</v>
      </c>
      <c r="D142" s="2" t="s">
        <v>108</v>
      </c>
      <c r="E142" s="2" t="str">
        <f>VLOOKUP(D142,[1]Comunas!$A:$E,5,0)</f>
        <v>Cauca</v>
      </c>
      <c r="F142" s="7" t="str">
        <f t="shared" si="5"/>
        <v>CaucaSANTANDER DE QUILICHAO</v>
      </c>
      <c r="G142" s="2" t="str">
        <f>VLOOKUP(F142,'[2]CLUSTER_MUNICIPIOS tarifas'!$D:$E,2,0)</f>
        <v>Moderado</v>
      </c>
      <c r="H142" s="2">
        <f>VLOOKUP(F142,'[3]CLUSTER_MUNICIPIOS tarifas'!$D:$F,3,0)</f>
        <v>19698</v>
      </c>
      <c r="I142" s="2" t="s">
        <v>164</v>
      </c>
      <c r="J142" s="18">
        <v>45323</v>
      </c>
      <c r="K142" s="8" t="s">
        <v>22</v>
      </c>
      <c r="L142" s="8" t="s">
        <v>23</v>
      </c>
      <c r="M142" s="5"/>
      <c r="N142" s="2">
        <v>19</v>
      </c>
      <c r="O142" s="2"/>
      <c r="P142" s="2"/>
      <c r="Q142" s="2">
        <v>5</v>
      </c>
      <c r="R142" s="2">
        <v>1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>
        <f t="shared" si="6"/>
        <v>25</v>
      </c>
    </row>
    <row r="143" spans="1:29" x14ac:dyDescent="0.2">
      <c r="A143" s="2" t="s">
        <v>359</v>
      </c>
      <c r="B143" s="2" t="s">
        <v>19</v>
      </c>
      <c r="C143" s="27">
        <v>1</v>
      </c>
      <c r="D143" s="2" t="s">
        <v>108</v>
      </c>
      <c r="E143" s="2" t="str">
        <f>VLOOKUP(D143,[1]Comunas!$A:$E,5,0)</f>
        <v>Cauca</v>
      </c>
      <c r="F143" s="7" t="str">
        <f t="shared" si="5"/>
        <v>CaucaSANTANDER DE QUILICHAO</v>
      </c>
      <c r="G143" s="2" t="str">
        <f>VLOOKUP(F143,'[2]CLUSTER_MUNICIPIOS tarifas'!$D:$E,2,0)</f>
        <v>Moderado</v>
      </c>
      <c r="H143" s="2">
        <f>VLOOKUP(F143,'[3]CLUSTER_MUNICIPIOS tarifas'!$D:$F,3,0)</f>
        <v>19698</v>
      </c>
      <c r="I143" s="2" t="s">
        <v>165</v>
      </c>
      <c r="J143" s="18">
        <v>45323</v>
      </c>
      <c r="K143" s="8" t="s">
        <v>22</v>
      </c>
      <c r="L143" s="8" t="s">
        <v>23</v>
      </c>
      <c r="M143" s="5"/>
      <c r="N143" s="2">
        <v>18</v>
      </c>
      <c r="O143" s="2">
        <v>1</v>
      </c>
      <c r="P143" s="2"/>
      <c r="Q143" s="2">
        <v>5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>
        <f t="shared" si="6"/>
        <v>24</v>
      </c>
    </row>
    <row r="144" spans="1:29" x14ac:dyDescent="0.2">
      <c r="A144" s="2" t="s">
        <v>359</v>
      </c>
      <c r="B144" s="2" t="s">
        <v>19</v>
      </c>
      <c r="C144" s="27">
        <v>1</v>
      </c>
      <c r="D144" s="2" t="s">
        <v>108</v>
      </c>
      <c r="E144" s="2" t="str">
        <f>VLOOKUP(D144,[1]Comunas!$A:$E,5,0)</f>
        <v>Cauca</v>
      </c>
      <c r="F144" s="7" t="str">
        <f t="shared" si="5"/>
        <v>CaucaSANTANDER DE QUILICHAO</v>
      </c>
      <c r="G144" s="2" t="str">
        <f>VLOOKUP(F144,'[2]CLUSTER_MUNICIPIOS tarifas'!$D:$E,2,0)</f>
        <v>Moderado</v>
      </c>
      <c r="H144" s="2">
        <f>VLOOKUP(F144,'[3]CLUSTER_MUNICIPIOS tarifas'!$D:$F,3,0)</f>
        <v>19698</v>
      </c>
      <c r="I144" s="2" t="s">
        <v>166</v>
      </c>
      <c r="J144" s="18">
        <v>45323</v>
      </c>
      <c r="K144" s="8" t="s">
        <v>22</v>
      </c>
      <c r="L144" s="8" t="s">
        <v>23</v>
      </c>
      <c r="M144" s="5"/>
      <c r="N144" s="2">
        <v>10</v>
      </c>
      <c r="O144" s="2"/>
      <c r="P144" s="2"/>
      <c r="Q144" s="2">
        <v>1</v>
      </c>
      <c r="R144" s="2">
        <v>2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>
        <f t="shared" si="6"/>
        <v>13</v>
      </c>
    </row>
    <row r="145" spans="1:29" x14ac:dyDescent="0.2">
      <c r="A145" s="2" t="s">
        <v>359</v>
      </c>
      <c r="B145" s="2" t="s">
        <v>19</v>
      </c>
      <c r="C145" s="27">
        <v>1</v>
      </c>
      <c r="D145" s="2" t="s">
        <v>20</v>
      </c>
      <c r="E145" s="2" t="str">
        <f>VLOOKUP(D145,[1]Comunas!$A:$E,5,0)</f>
        <v>Cauca</v>
      </c>
      <c r="F145" s="7" t="str">
        <f t="shared" si="5"/>
        <v>CaucaPOPAYAN</v>
      </c>
      <c r="G145" s="2" t="str">
        <f>VLOOKUP(F145,'[2]CLUSTER_MUNICIPIOS tarifas'!$D:$E,2,0)</f>
        <v>Moderado</v>
      </c>
      <c r="H145" s="2">
        <f>VLOOKUP(F145,'[3]CLUSTER_MUNICIPIOS tarifas'!$D:$F,3,0)</f>
        <v>19001</v>
      </c>
      <c r="I145" s="2" t="s">
        <v>167</v>
      </c>
      <c r="J145" s="18">
        <v>45323</v>
      </c>
      <c r="K145" s="8" t="s">
        <v>22</v>
      </c>
      <c r="L145" s="8" t="s">
        <v>23</v>
      </c>
      <c r="M145" s="5"/>
      <c r="N145" s="2">
        <v>18</v>
      </c>
      <c r="O145" s="2">
        <v>2</v>
      </c>
      <c r="P145" s="2"/>
      <c r="Q145" s="2">
        <v>5</v>
      </c>
      <c r="R145" s="2">
        <v>5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>
        <f t="shared" si="6"/>
        <v>30</v>
      </c>
    </row>
    <row r="146" spans="1:29" x14ac:dyDescent="0.2">
      <c r="A146" s="2" t="s">
        <v>359</v>
      </c>
      <c r="B146" s="2" t="s">
        <v>19</v>
      </c>
      <c r="C146" s="27">
        <v>1</v>
      </c>
      <c r="D146" s="2" t="s">
        <v>20</v>
      </c>
      <c r="E146" s="2" t="str">
        <f>VLOOKUP(D146,[1]Comunas!$A:$E,5,0)</f>
        <v>Cauca</v>
      </c>
      <c r="F146" s="7" t="str">
        <f t="shared" si="5"/>
        <v>CaucaPOPAYAN</v>
      </c>
      <c r="G146" s="2" t="str">
        <f>VLOOKUP(F146,'[2]CLUSTER_MUNICIPIOS tarifas'!$D:$E,2,0)</f>
        <v>Moderado</v>
      </c>
      <c r="H146" s="2">
        <f>VLOOKUP(F146,'[3]CLUSTER_MUNICIPIOS tarifas'!$D:$F,3,0)</f>
        <v>19001</v>
      </c>
      <c r="I146" s="2" t="s">
        <v>168</v>
      </c>
      <c r="J146" s="18">
        <v>45323</v>
      </c>
      <c r="K146" s="8" t="s">
        <v>22</v>
      </c>
      <c r="L146" s="8" t="s">
        <v>23</v>
      </c>
      <c r="M146" s="5"/>
      <c r="N146" s="2">
        <v>26</v>
      </c>
      <c r="O146" s="2">
        <v>3</v>
      </c>
      <c r="P146" s="2"/>
      <c r="Q146" s="2">
        <v>6</v>
      </c>
      <c r="R146" s="2">
        <v>9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>
        <f t="shared" si="6"/>
        <v>44</v>
      </c>
    </row>
    <row r="147" spans="1:29" x14ac:dyDescent="0.2">
      <c r="A147" s="2" t="s">
        <v>359</v>
      </c>
      <c r="B147" s="2" t="s">
        <v>19</v>
      </c>
      <c r="C147" s="27">
        <v>1</v>
      </c>
      <c r="D147" s="2" t="s">
        <v>20</v>
      </c>
      <c r="E147" s="2" t="str">
        <f>VLOOKUP(D147,[1]Comunas!$A:$E,5,0)</f>
        <v>Cauca</v>
      </c>
      <c r="F147" s="7" t="str">
        <f t="shared" si="5"/>
        <v>CaucaPOPAYAN</v>
      </c>
      <c r="G147" s="2" t="str">
        <f>VLOOKUP(F147,'[2]CLUSTER_MUNICIPIOS tarifas'!$D:$E,2,0)</f>
        <v>Moderado</v>
      </c>
      <c r="H147" s="2">
        <f>VLOOKUP(F147,'[3]CLUSTER_MUNICIPIOS tarifas'!$D:$F,3,0)</f>
        <v>19001</v>
      </c>
      <c r="I147" s="2" t="s">
        <v>169</v>
      </c>
      <c r="J147" s="18">
        <v>45323</v>
      </c>
      <c r="K147" s="8" t="s">
        <v>22</v>
      </c>
      <c r="L147" s="8" t="s">
        <v>23</v>
      </c>
      <c r="M147" s="5"/>
      <c r="N147" s="2">
        <v>8</v>
      </c>
      <c r="O147" s="2">
        <v>3</v>
      </c>
      <c r="P147" s="2"/>
      <c r="Q147" s="2">
        <v>1</v>
      </c>
      <c r="R147" s="2">
        <v>16</v>
      </c>
      <c r="S147" s="2"/>
      <c r="T147" s="2">
        <v>2</v>
      </c>
      <c r="U147" s="2"/>
      <c r="V147" s="2"/>
      <c r="W147" s="2"/>
      <c r="X147" s="2"/>
      <c r="Y147" s="2"/>
      <c r="Z147" s="2"/>
      <c r="AA147" s="2"/>
      <c r="AB147" s="2"/>
      <c r="AC147" s="2">
        <f t="shared" si="6"/>
        <v>30</v>
      </c>
    </row>
    <row r="148" spans="1:29" x14ac:dyDescent="0.2">
      <c r="A148" s="2" t="s">
        <v>359</v>
      </c>
      <c r="B148" s="2" t="s">
        <v>19</v>
      </c>
      <c r="C148" s="27">
        <v>1</v>
      </c>
      <c r="D148" s="2" t="s">
        <v>20</v>
      </c>
      <c r="E148" s="2" t="str">
        <f>VLOOKUP(D148,[1]Comunas!$A:$E,5,0)</f>
        <v>Cauca</v>
      </c>
      <c r="F148" s="7" t="str">
        <f t="shared" si="5"/>
        <v>CaucaPOPAYAN</v>
      </c>
      <c r="G148" s="2" t="str">
        <f>VLOOKUP(F148,'[2]CLUSTER_MUNICIPIOS tarifas'!$D:$E,2,0)</f>
        <v>Moderado</v>
      </c>
      <c r="H148" s="2">
        <f>VLOOKUP(F148,'[3]CLUSTER_MUNICIPIOS tarifas'!$D:$F,3,0)</f>
        <v>19001</v>
      </c>
      <c r="I148" s="2" t="s">
        <v>170</v>
      </c>
      <c r="J148" s="18">
        <v>45323</v>
      </c>
      <c r="K148" s="8" t="s">
        <v>22</v>
      </c>
      <c r="L148" s="8" t="s">
        <v>23</v>
      </c>
      <c r="M148" s="5"/>
      <c r="N148" s="2">
        <v>5</v>
      </c>
      <c r="O148" s="2"/>
      <c r="P148" s="2"/>
      <c r="Q148" s="2">
        <v>4</v>
      </c>
      <c r="R148" s="2">
        <v>2</v>
      </c>
      <c r="S148" s="2"/>
      <c r="T148" s="2"/>
      <c r="U148" s="2"/>
      <c r="V148" s="2">
        <v>2</v>
      </c>
      <c r="W148" s="2"/>
      <c r="X148" s="2"/>
      <c r="Y148" s="2"/>
      <c r="Z148" s="2"/>
      <c r="AA148" s="2"/>
      <c r="AB148" s="2"/>
      <c r="AC148" s="2">
        <f t="shared" si="6"/>
        <v>13</v>
      </c>
    </row>
    <row r="149" spans="1:29" x14ac:dyDescent="0.2">
      <c r="A149" s="2" t="s">
        <v>359</v>
      </c>
      <c r="B149" s="2" t="s">
        <v>19</v>
      </c>
      <c r="C149" s="27">
        <v>1</v>
      </c>
      <c r="D149" s="2" t="s">
        <v>20</v>
      </c>
      <c r="E149" s="2" t="str">
        <f>VLOOKUP(D149,[1]Comunas!$A:$E,5,0)</f>
        <v>Cauca</v>
      </c>
      <c r="F149" s="7" t="str">
        <f t="shared" si="5"/>
        <v>CaucaPOPAYAN</v>
      </c>
      <c r="G149" s="2" t="str">
        <f>VLOOKUP(F149,'[2]CLUSTER_MUNICIPIOS tarifas'!$D:$E,2,0)</f>
        <v>Moderado</v>
      </c>
      <c r="H149" s="2">
        <f>VLOOKUP(F149,'[3]CLUSTER_MUNICIPIOS tarifas'!$D:$F,3,0)</f>
        <v>19001</v>
      </c>
      <c r="I149" s="2" t="s">
        <v>171</v>
      </c>
      <c r="J149" s="18">
        <v>45323</v>
      </c>
      <c r="K149" s="8" t="s">
        <v>22</v>
      </c>
      <c r="L149" s="8" t="s">
        <v>23</v>
      </c>
      <c r="M149" s="5"/>
      <c r="N149" s="2">
        <v>18</v>
      </c>
      <c r="O149" s="2">
        <v>4</v>
      </c>
      <c r="P149" s="2"/>
      <c r="Q149" s="2">
        <v>9</v>
      </c>
      <c r="R149" s="2">
        <v>11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>
        <f t="shared" si="6"/>
        <v>42</v>
      </c>
    </row>
    <row r="150" spans="1:29" x14ac:dyDescent="0.2">
      <c r="A150" s="2" t="s">
        <v>359</v>
      </c>
      <c r="B150" s="2" t="s">
        <v>19</v>
      </c>
      <c r="C150" s="27">
        <v>1</v>
      </c>
      <c r="D150" s="2" t="s">
        <v>20</v>
      </c>
      <c r="E150" s="2" t="str">
        <f>VLOOKUP(D150,[1]Comunas!$A:$E,5,0)</f>
        <v>Cauca</v>
      </c>
      <c r="F150" s="7" t="str">
        <f t="shared" si="5"/>
        <v>CaucaPOPAYAN</v>
      </c>
      <c r="G150" s="2" t="str">
        <f>VLOOKUP(F150,'[2]CLUSTER_MUNICIPIOS tarifas'!$D:$E,2,0)</f>
        <v>Moderado</v>
      </c>
      <c r="H150" s="2">
        <f>VLOOKUP(F150,'[3]CLUSTER_MUNICIPIOS tarifas'!$D:$F,3,0)</f>
        <v>19001</v>
      </c>
      <c r="I150" s="2" t="s">
        <v>172</v>
      </c>
      <c r="J150" s="18">
        <v>45323</v>
      </c>
      <c r="K150" s="8" t="s">
        <v>22</v>
      </c>
      <c r="L150" s="8" t="s">
        <v>23</v>
      </c>
      <c r="M150" s="5"/>
      <c r="N150" s="2">
        <v>4</v>
      </c>
      <c r="O150" s="2"/>
      <c r="P150" s="2"/>
      <c r="Q150" s="2">
        <v>2</v>
      </c>
      <c r="R150" s="2">
        <v>7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>
        <f t="shared" si="6"/>
        <v>13</v>
      </c>
    </row>
    <row r="151" spans="1:29" x14ac:dyDescent="0.2">
      <c r="A151" s="2" t="s">
        <v>359</v>
      </c>
      <c r="B151" s="2" t="s">
        <v>19</v>
      </c>
      <c r="C151" s="27">
        <v>1</v>
      </c>
      <c r="D151" s="2" t="s">
        <v>20</v>
      </c>
      <c r="E151" s="2" t="str">
        <f>VLOOKUP(D151,[1]Comunas!$A:$E,5,0)</f>
        <v>Cauca</v>
      </c>
      <c r="F151" s="7" t="str">
        <f t="shared" si="5"/>
        <v>CaucaPOPAYAN</v>
      </c>
      <c r="G151" s="2" t="str">
        <f>VLOOKUP(F151,'[2]CLUSTER_MUNICIPIOS tarifas'!$D:$E,2,0)</f>
        <v>Moderado</v>
      </c>
      <c r="H151" s="2">
        <f>VLOOKUP(F151,'[3]CLUSTER_MUNICIPIOS tarifas'!$D:$F,3,0)</f>
        <v>19001</v>
      </c>
      <c r="I151" s="2" t="s">
        <v>173</v>
      </c>
      <c r="J151" s="18">
        <v>45323</v>
      </c>
      <c r="K151" s="8" t="s">
        <v>22</v>
      </c>
      <c r="L151" s="8" t="s">
        <v>23</v>
      </c>
      <c r="M151" s="5"/>
      <c r="N151" s="2">
        <v>7</v>
      </c>
      <c r="O151" s="2">
        <v>14</v>
      </c>
      <c r="P151" s="2"/>
      <c r="Q151" s="2"/>
      <c r="R151" s="2">
        <v>2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>
        <f t="shared" si="6"/>
        <v>23</v>
      </c>
    </row>
    <row r="152" spans="1:29" x14ac:dyDescent="0.2">
      <c r="A152" s="2" t="s">
        <v>359</v>
      </c>
      <c r="B152" s="2" t="s">
        <v>19</v>
      </c>
      <c r="C152" s="27">
        <v>1</v>
      </c>
      <c r="D152" s="2" t="s">
        <v>20</v>
      </c>
      <c r="E152" s="2" t="str">
        <f>VLOOKUP(D152,[1]Comunas!$A:$E,5,0)</f>
        <v>Cauca</v>
      </c>
      <c r="F152" s="7" t="str">
        <f t="shared" si="5"/>
        <v>CaucaPOPAYAN</v>
      </c>
      <c r="G152" s="2" t="str">
        <f>VLOOKUP(F152,'[2]CLUSTER_MUNICIPIOS tarifas'!$D:$E,2,0)</f>
        <v>Moderado</v>
      </c>
      <c r="H152" s="2">
        <f>VLOOKUP(F152,'[3]CLUSTER_MUNICIPIOS tarifas'!$D:$F,3,0)</f>
        <v>19001</v>
      </c>
      <c r="I152" s="2" t="s">
        <v>174</v>
      </c>
      <c r="J152" s="18">
        <v>45323</v>
      </c>
      <c r="K152" s="8" t="s">
        <v>22</v>
      </c>
      <c r="L152" s="8" t="s">
        <v>23</v>
      </c>
      <c r="M152" s="5"/>
      <c r="N152" s="2">
        <v>1</v>
      </c>
      <c r="O152" s="2"/>
      <c r="P152" s="2"/>
      <c r="Q152" s="2">
        <v>2</v>
      </c>
      <c r="R152" s="2">
        <v>11</v>
      </c>
      <c r="S152" s="2"/>
      <c r="T152" s="2">
        <v>2</v>
      </c>
      <c r="U152" s="2"/>
      <c r="V152" s="2"/>
      <c r="W152" s="2"/>
      <c r="X152" s="2"/>
      <c r="Y152" s="2"/>
      <c r="Z152" s="2"/>
      <c r="AA152" s="2"/>
      <c r="AB152" s="2"/>
      <c r="AC152" s="2">
        <f t="shared" si="6"/>
        <v>16</v>
      </c>
    </row>
    <row r="153" spans="1:29" x14ac:dyDescent="0.2">
      <c r="A153" s="2" t="s">
        <v>359</v>
      </c>
      <c r="B153" s="2" t="s">
        <v>19</v>
      </c>
      <c r="C153" s="27">
        <v>1</v>
      </c>
      <c r="D153" s="2" t="s">
        <v>20</v>
      </c>
      <c r="E153" s="2" t="str">
        <f>VLOOKUP(D153,[1]Comunas!$A:$E,5,0)</f>
        <v>Cauca</v>
      </c>
      <c r="F153" s="7" t="str">
        <f t="shared" si="5"/>
        <v>CaucaPOPAYAN</v>
      </c>
      <c r="G153" s="2" t="str">
        <f>VLOOKUP(F153,'[2]CLUSTER_MUNICIPIOS tarifas'!$D:$E,2,0)</f>
        <v>Moderado</v>
      </c>
      <c r="H153" s="2">
        <f>VLOOKUP(F153,'[3]CLUSTER_MUNICIPIOS tarifas'!$D:$F,3,0)</f>
        <v>19001</v>
      </c>
      <c r="I153" s="2" t="s">
        <v>175</v>
      </c>
      <c r="J153" s="18">
        <v>45323</v>
      </c>
      <c r="K153" s="8" t="s">
        <v>22</v>
      </c>
      <c r="L153" s="8" t="s">
        <v>23</v>
      </c>
      <c r="M153" s="5"/>
      <c r="N153" s="2">
        <v>22</v>
      </c>
      <c r="O153" s="2">
        <v>1</v>
      </c>
      <c r="P153" s="2">
        <v>1</v>
      </c>
      <c r="Q153" s="2">
        <v>2</v>
      </c>
      <c r="R153" s="2">
        <v>10</v>
      </c>
      <c r="S153" s="2"/>
      <c r="T153" s="2">
        <v>4</v>
      </c>
      <c r="U153" s="2"/>
      <c r="V153" s="2"/>
      <c r="W153" s="2"/>
      <c r="X153" s="2"/>
      <c r="Y153" s="2"/>
      <c r="Z153" s="2"/>
      <c r="AA153" s="2"/>
      <c r="AB153" s="2"/>
      <c r="AC153" s="2">
        <f t="shared" si="6"/>
        <v>40</v>
      </c>
    </row>
    <row r="154" spans="1:29" x14ac:dyDescent="0.2">
      <c r="A154" s="2" t="s">
        <v>359</v>
      </c>
      <c r="B154" s="2" t="s">
        <v>19</v>
      </c>
      <c r="C154" s="27">
        <v>1</v>
      </c>
      <c r="D154" s="2" t="s">
        <v>20</v>
      </c>
      <c r="E154" s="2" t="str">
        <f>VLOOKUP(D154,[1]Comunas!$A:$E,5,0)</f>
        <v>Cauca</v>
      </c>
      <c r="F154" s="7" t="str">
        <f t="shared" si="5"/>
        <v>CaucaPOPAYAN</v>
      </c>
      <c r="G154" s="2" t="str">
        <f>VLOOKUP(F154,'[2]CLUSTER_MUNICIPIOS tarifas'!$D:$E,2,0)</f>
        <v>Moderado</v>
      </c>
      <c r="H154" s="2">
        <f>VLOOKUP(F154,'[3]CLUSTER_MUNICIPIOS tarifas'!$D:$F,3,0)</f>
        <v>19001</v>
      </c>
      <c r="I154" s="2" t="s">
        <v>176</v>
      </c>
      <c r="J154" s="18">
        <v>45323</v>
      </c>
      <c r="K154" s="8" t="s">
        <v>22</v>
      </c>
      <c r="L154" s="8" t="s">
        <v>23</v>
      </c>
      <c r="M154" s="5"/>
      <c r="N154" s="2">
        <v>6</v>
      </c>
      <c r="O154" s="2">
        <v>3</v>
      </c>
      <c r="P154" s="2">
        <v>1</v>
      </c>
      <c r="Q154" s="2">
        <v>1</v>
      </c>
      <c r="R154" s="2">
        <v>7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>
        <f t="shared" si="6"/>
        <v>18</v>
      </c>
    </row>
    <row r="155" spans="1:29" x14ac:dyDescent="0.2">
      <c r="A155" s="2" t="s">
        <v>359</v>
      </c>
      <c r="B155" s="2" t="s">
        <v>19</v>
      </c>
      <c r="C155" s="27">
        <v>1</v>
      </c>
      <c r="D155" s="2" t="s">
        <v>20</v>
      </c>
      <c r="E155" s="2" t="str">
        <f>VLOOKUP(D155,[1]Comunas!$A:$E,5,0)</f>
        <v>Cauca</v>
      </c>
      <c r="F155" s="7" t="str">
        <f t="shared" si="5"/>
        <v>CaucaPOPAYAN</v>
      </c>
      <c r="G155" s="2" t="str">
        <f>VLOOKUP(F155,'[2]CLUSTER_MUNICIPIOS tarifas'!$D:$E,2,0)</f>
        <v>Moderado</v>
      </c>
      <c r="H155" s="2">
        <f>VLOOKUP(F155,'[3]CLUSTER_MUNICIPIOS tarifas'!$D:$F,3,0)</f>
        <v>19001</v>
      </c>
      <c r="I155" s="2" t="s">
        <v>177</v>
      </c>
      <c r="J155" s="18">
        <v>45323</v>
      </c>
      <c r="K155" s="8" t="s">
        <v>22</v>
      </c>
      <c r="L155" s="8" t="s">
        <v>23</v>
      </c>
      <c r="M155" s="5"/>
      <c r="N155" s="2">
        <v>22</v>
      </c>
      <c r="O155" s="2">
        <v>14</v>
      </c>
      <c r="P155" s="2"/>
      <c r="Q155" s="2"/>
      <c r="R155" s="2">
        <v>18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>
        <f t="shared" si="6"/>
        <v>54</v>
      </c>
    </row>
    <row r="156" spans="1:29" x14ac:dyDescent="0.2">
      <c r="A156" s="2" t="s">
        <v>359</v>
      </c>
      <c r="B156" s="2" t="s">
        <v>19</v>
      </c>
      <c r="C156" s="27">
        <v>1</v>
      </c>
      <c r="D156" s="2" t="s">
        <v>20</v>
      </c>
      <c r="E156" s="2" t="str">
        <f>VLOOKUP(D156,[1]Comunas!$A:$E,5,0)</f>
        <v>Cauca</v>
      </c>
      <c r="F156" s="7" t="str">
        <f t="shared" si="5"/>
        <v>CaucaPOPAYAN</v>
      </c>
      <c r="G156" s="2" t="str">
        <f>VLOOKUP(F156,'[2]CLUSTER_MUNICIPIOS tarifas'!$D:$E,2,0)</f>
        <v>Moderado</v>
      </c>
      <c r="H156" s="2">
        <f>VLOOKUP(F156,'[3]CLUSTER_MUNICIPIOS tarifas'!$D:$F,3,0)</f>
        <v>19001</v>
      </c>
      <c r="I156" s="2" t="s">
        <v>178</v>
      </c>
      <c r="J156" s="18">
        <v>45323</v>
      </c>
      <c r="K156" s="8" t="s">
        <v>22</v>
      </c>
      <c r="L156" s="8" t="s">
        <v>23</v>
      </c>
      <c r="M156" s="5"/>
      <c r="N156" s="2">
        <v>19</v>
      </c>
      <c r="O156" s="2">
        <v>10</v>
      </c>
      <c r="P156" s="2"/>
      <c r="Q156" s="2">
        <v>1</v>
      </c>
      <c r="R156" s="2">
        <v>10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>
        <f t="shared" si="6"/>
        <v>40</v>
      </c>
    </row>
    <row r="157" spans="1:29" x14ac:dyDescent="0.2">
      <c r="A157" s="2" t="s">
        <v>359</v>
      </c>
      <c r="B157" s="2" t="s">
        <v>19</v>
      </c>
      <c r="C157" s="27">
        <v>1</v>
      </c>
      <c r="D157" s="2" t="s">
        <v>20</v>
      </c>
      <c r="E157" s="2" t="str">
        <f>VLOOKUP(D157,[1]Comunas!$A:$E,5,0)</f>
        <v>Cauca</v>
      </c>
      <c r="F157" s="7" t="str">
        <f t="shared" si="5"/>
        <v>CaucaPOPAYAN</v>
      </c>
      <c r="G157" s="2" t="str">
        <f>VLOOKUP(F157,'[2]CLUSTER_MUNICIPIOS tarifas'!$D:$E,2,0)</f>
        <v>Moderado</v>
      </c>
      <c r="H157" s="2">
        <f>VLOOKUP(F157,'[3]CLUSTER_MUNICIPIOS tarifas'!$D:$F,3,0)</f>
        <v>19001</v>
      </c>
      <c r="I157" s="2" t="s">
        <v>179</v>
      </c>
      <c r="J157" s="18">
        <v>45323</v>
      </c>
      <c r="K157" s="8" t="s">
        <v>22</v>
      </c>
      <c r="L157" s="8" t="s">
        <v>23</v>
      </c>
      <c r="M157" s="5"/>
      <c r="N157" s="2"/>
      <c r="O157" s="2"/>
      <c r="P157" s="2"/>
      <c r="Q157" s="2"/>
      <c r="R157" s="2">
        <v>1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>
        <f t="shared" si="6"/>
        <v>1</v>
      </c>
    </row>
    <row r="158" spans="1:29" x14ac:dyDescent="0.2">
      <c r="A158" s="2" t="s">
        <v>359</v>
      </c>
      <c r="B158" s="2" t="s">
        <v>19</v>
      </c>
      <c r="C158" s="27">
        <v>1</v>
      </c>
      <c r="D158" s="2" t="s">
        <v>20</v>
      </c>
      <c r="E158" s="2" t="str">
        <f>VLOOKUP(D158,[1]Comunas!$A:$E,5,0)</f>
        <v>Cauca</v>
      </c>
      <c r="F158" s="7" t="str">
        <f t="shared" si="5"/>
        <v>CaucaPOPAYAN</v>
      </c>
      <c r="G158" s="2" t="str">
        <f>VLOOKUP(F158,'[2]CLUSTER_MUNICIPIOS tarifas'!$D:$E,2,0)</f>
        <v>Moderado</v>
      </c>
      <c r="H158" s="2">
        <f>VLOOKUP(F158,'[3]CLUSTER_MUNICIPIOS tarifas'!$D:$F,3,0)</f>
        <v>19001</v>
      </c>
      <c r="I158" s="2" t="s">
        <v>180</v>
      </c>
      <c r="J158" s="18">
        <v>45323</v>
      </c>
      <c r="K158" s="8" t="s">
        <v>22</v>
      </c>
      <c r="L158" s="8" t="s">
        <v>23</v>
      </c>
      <c r="M158" s="5"/>
      <c r="N158" s="2">
        <v>1</v>
      </c>
      <c r="O158" s="2"/>
      <c r="P158" s="2"/>
      <c r="Q158" s="2"/>
      <c r="R158" s="2">
        <v>1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>
        <f t="shared" si="6"/>
        <v>2</v>
      </c>
    </row>
    <row r="159" spans="1:29" x14ac:dyDescent="0.2">
      <c r="A159" s="2" t="s">
        <v>359</v>
      </c>
      <c r="B159" s="2" t="s">
        <v>19</v>
      </c>
      <c r="C159" s="27">
        <v>1</v>
      </c>
      <c r="D159" s="2" t="s">
        <v>20</v>
      </c>
      <c r="E159" s="2" t="str">
        <f>VLOOKUP(D159,[1]Comunas!$A:$E,5,0)</f>
        <v>Cauca</v>
      </c>
      <c r="F159" s="7" t="str">
        <f t="shared" si="5"/>
        <v>CaucaPOPAYAN</v>
      </c>
      <c r="G159" s="2" t="str">
        <f>VLOOKUP(F159,'[2]CLUSTER_MUNICIPIOS tarifas'!$D:$E,2,0)</f>
        <v>Moderado</v>
      </c>
      <c r="H159" s="2">
        <f>VLOOKUP(F159,'[3]CLUSTER_MUNICIPIOS tarifas'!$D:$F,3,0)</f>
        <v>19001</v>
      </c>
      <c r="I159" s="2" t="s">
        <v>181</v>
      </c>
      <c r="J159" s="18">
        <v>45323</v>
      </c>
      <c r="K159" s="8" t="s">
        <v>22</v>
      </c>
      <c r="L159" s="8" t="s">
        <v>23</v>
      </c>
      <c r="M159" s="5"/>
      <c r="N159" s="2"/>
      <c r="O159" s="2"/>
      <c r="P159" s="2"/>
      <c r="Q159" s="2"/>
      <c r="R159" s="2">
        <v>3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>
        <f t="shared" si="6"/>
        <v>3</v>
      </c>
    </row>
    <row r="160" spans="1:29" x14ac:dyDescent="0.2">
      <c r="A160" s="2" t="s">
        <v>359</v>
      </c>
      <c r="B160" s="2" t="s">
        <v>19</v>
      </c>
      <c r="C160" s="27">
        <v>1</v>
      </c>
      <c r="D160" s="2" t="s">
        <v>20</v>
      </c>
      <c r="E160" s="2" t="str">
        <f>VLOOKUP(D160,[1]Comunas!$A:$E,5,0)</f>
        <v>Cauca</v>
      </c>
      <c r="F160" s="7" t="str">
        <f t="shared" si="5"/>
        <v>CaucaPOPAYAN</v>
      </c>
      <c r="G160" s="2" t="str">
        <f>VLOOKUP(F160,'[2]CLUSTER_MUNICIPIOS tarifas'!$D:$E,2,0)</f>
        <v>Moderado</v>
      </c>
      <c r="H160" s="2">
        <f>VLOOKUP(F160,'[3]CLUSTER_MUNICIPIOS tarifas'!$D:$F,3,0)</f>
        <v>19001</v>
      </c>
      <c r="I160" s="2" t="s">
        <v>182</v>
      </c>
      <c r="J160" s="18">
        <v>45323</v>
      </c>
      <c r="K160" s="8" t="s">
        <v>22</v>
      </c>
      <c r="L160" s="8" t="s">
        <v>23</v>
      </c>
      <c r="M160" s="5"/>
      <c r="N160" s="2"/>
      <c r="O160" s="2">
        <v>2</v>
      </c>
      <c r="P160" s="2"/>
      <c r="Q160" s="2"/>
      <c r="R160" s="2">
        <v>4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>
        <f t="shared" si="6"/>
        <v>6</v>
      </c>
    </row>
    <row r="161" spans="1:29" x14ac:dyDescent="0.2">
      <c r="A161" s="2" t="s">
        <v>359</v>
      </c>
      <c r="B161" s="2" t="s">
        <v>19</v>
      </c>
      <c r="C161" s="27">
        <v>1</v>
      </c>
      <c r="D161" s="2" t="s">
        <v>108</v>
      </c>
      <c r="E161" s="2" t="str">
        <f>VLOOKUP(D161,[1]Comunas!$A:$E,5,0)</f>
        <v>Cauca</v>
      </c>
      <c r="F161" s="7" t="str">
        <f t="shared" si="5"/>
        <v>CaucaSANTANDER DE QUILICHAO</v>
      </c>
      <c r="G161" s="2" t="str">
        <f>VLOOKUP(F161,'[2]CLUSTER_MUNICIPIOS tarifas'!$D:$E,2,0)</f>
        <v>Moderado</v>
      </c>
      <c r="H161" s="2">
        <f>VLOOKUP(F161,'[3]CLUSTER_MUNICIPIOS tarifas'!$D:$F,3,0)</f>
        <v>19698</v>
      </c>
      <c r="I161" s="2" t="s">
        <v>183</v>
      </c>
      <c r="J161" s="18">
        <v>45323</v>
      </c>
      <c r="K161" s="8" t="s">
        <v>22</v>
      </c>
      <c r="L161" s="8" t="s">
        <v>23</v>
      </c>
      <c r="M161" s="5"/>
      <c r="N161" s="2">
        <v>20</v>
      </c>
      <c r="O161" s="2">
        <v>3</v>
      </c>
      <c r="P161" s="2"/>
      <c r="Q161" s="2">
        <v>1</v>
      </c>
      <c r="R161" s="2">
        <v>9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>
        <f t="shared" si="6"/>
        <v>33</v>
      </c>
    </row>
    <row r="162" spans="1:29" x14ac:dyDescent="0.2">
      <c r="A162" s="2" t="s">
        <v>359</v>
      </c>
      <c r="B162" s="2" t="s">
        <v>19</v>
      </c>
      <c r="C162" s="27">
        <v>1</v>
      </c>
      <c r="D162" s="2" t="s">
        <v>108</v>
      </c>
      <c r="E162" s="2" t="str">
        <f>VLOOKUP(D162,[1]Comunas!$A:$E,5,0)</f>
        <v>Cauca</v>
      </c>
      <c r="F162" s="7" t="str">
        <f t="shared" si="5"/>
        <v>CaucaSANTANDER DE QUILICHAO</v>
      </c>
      <c r="G162" s="2" t="str">
        <f>VLOOKUP(F162,'[2]CLUSTER_MUNICIPIOS tarifas'!$D:$E,2,0)</f>
        <v>Moderado</v>
      </c>
      <c r="H162" s="2">
        <f>VLOOKUP(F162,'[3]CLUSTER_MUNICIPIOS tarifas'!$D:$F,3,0)</f>
        <v>19698</v>
      </c>
      <c r="I162" s="2" t="s">
        <v>184</v>
      </c>
      <c r="J162" s="18">
        <v>45323</v>
      </c>
      <c r="K162" s="8" t="s">
        <v>22</v>
      </c>
      <c r="L162" s="8" t="s">
        <v>23</v>
      </c>
      <c r="M162" s="5"/>
      <c r="N162" s="2">
        <v>16</v>
      </c>
      <c r="O162" s="2"/>
      <c r="P162" s="2"/>
      <c r="Q162" s="2">
        <v>2</v>
      </c>
      <c r="R162" s="2">
        <v>8</v>
      </c>
      <c r="S162" s="2"/>
      <c r="T162" s="2">
        <v>7</v>
      </c>
      <c r="U162" s="2"/>
      <c r="V162" s="2"/>
      <c r="W162" s="2"/>
      <c r="X162" s="2"/>
      <c r="Y162" s="2"/>
      <c r="Z162" s="2"/>
      <c r="AA162" s="2"/>
      <c r="AB162" s="2"/>
      <c r="AC162" s="2">
        <f t="shared" si="6"/>
        <v>33</v>
      </c>
    </row>
    <row r="163" spans="1:29" x14ac:dyDescent="0.2">
      <c r="A163" s="2" t="s">
        <v>359</v>
      </c>
      <c r="B163" s="2" t="s">
        <v>19</v>
      </c>
      <c r="C163" s="27">
        <v>1</v>
      </c>
      <c r="D163" s="2" t="s">
        <v>108</v>
      </c>
      <c r="E163" s="2" t="str">
        <f>VLOOKUP(D163,[1]Comunas!$A:$E,5,0)</f>
        <v>Cauca</v>
      </c>
      <c r="F163" s="7" t="str">
        <f t="shared" si="5"/>
        <v>CaucaSANTANDER DE QUILICHAO</v>
      </c>
      <c r="G163" s="2" t="str">
        <f>VLOOKUP(F163,'[2]CLUSTER_MUNICIPIOS tarifas'!$D:$E,2,0)</f>
        <v>Moderado</v>
      </c>
      <c r="H163" s="2">
        <f>VLOOKUP(F163,'[3]CLUSTER_MUNICIPIOS tarifas'!$D:$F,3,0)</f>
        <v>19698</v>
      </c>
      <c r="I163" s="2" t="s">
        <v>185</v>
      </c>
      <c r="J163" s="18">
        <v>45323</v>
      </c>
      <c r="K163" s="8" t="s">
        <v>22</v>
      </c>
      <c r="L163" s="8" t="s">
        <v>23</v>
      </c>
      <c r="M163" s="5"/>
      <c r="N163" s="2">
        <v>35</v>
      </c>
      <c r="O163" s="2"/>
      <c r="P163" s="2"/>
      <c r="Q163" s="2"/>
      <c r="R163" s="2">
        <v>25</v>
      </c>
      <c r="S163" s="2"/>
      <c r="T163" s="2">
        <v>4</v>
      </c>
      <c r="U163" s="2"/>
      <c r="V163" s="2"/>
      <c r="W163" s="2"/>
      <c r="X163" s="2"/>
      <c r="Y163" s="2"/>
      <c r="Z163" s="2"/>
      <c r="AA163" s="2"/>
      <c r="AB163" s="2"/>
      <c r="AC163" s="2">
        <f t="shared" si="6"/>
        <v>64</v>
      </c>
    </row>
    <row r="164" spans="1:29" x14ac:dyDescent="0.2">
      <c r="A164" s="2" t="s">
        <v>359</v>
      </c>
      <c r="B164" s="2" t="s">
        <v>19</v>
      </c>
      <c r="C164" s="27">
        <v>1</v>
      </c>
      <c r="D164" s="2" t="s">
        <v>108</v>
      </c>
      <c r="E164" s="2" t="str">
        <f>VLOOKUP(D164,[1]Comunas!$A:$E,5,0)</f>
        <v>Cauca</v>
      </c>
      <c r="F164" s="7" t="str">
        <f t="shared" si="5"/>
        <v>CaucaSANTANDER DE QUILICHAO</v>
      </c>
      <c r="G164" s="2" t="str">
        <f>VLOOKUP(F164,'[2]CLUSTER_MUNICIPIOS tarifas'!$D:$E,2,0)</f>
        <v>Moderado</v>
      </c>
      <c r="H164" s="2">
        <f>VLOOKUP(F164,'[3]CLUSTER_MUNICIPIOS tarifas'!$D:$F,3,0)</f>
        <v>19698</v>
      </c>
      <c r="I164" s="2" t="s">
        <v>186</v>
      </c>
      <c r="J164" s="18">
        <v>45323</v>
      </c>
      <c r="K164" s="8" t="s">
        <v>22</v>
      </c>
      <c r="L164" s="8" t="s">
        <v>23</v>
      </c>
      <c r="M164" s="5"/>
      <c r="N164" s="2"/>
      <c r="O164" s="2">
        <v>31</v>
      </c>
      <c r="P164" s="2"/>
      <c r="Q164" s="2">
        <v>6</v>
      </c>
      <c r="R164" s="2">
        <v>2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>
        <f t="shared" si="6"/>
        <v>39</v>
      </c>
    </row>
    <row r="165" spans="1:29" x14ac:dyDescent="0.2">
      <c r="A165" s="2" t="s">
        <v>359</v>
      </c>
      <c r="B165" s="2" t="s">
        <v>19</v>
      </c>
      <c r="C165" s="27">
        <v>1</v>
      </c>
      <c r="D165" s="2" t="s">
        <v>108</v>
      </c>
      <c r="E165" s="2" t="str">
        <f>VLOOKUP(D165,[1]Comunas!$A:$E,5,0)</f>
        <v>Cauca</v>
      </c>
      <c r="F165" s="7" t="str">
        <f t="shared" si="5"/>
        <v>CaucaSANTANDER DE QUILICHAO</v>
      </c>
      <c r="G165" s="2" t="str">
        <f>VLOOKUP(F165,'[2]CLUSTER_MUNICIPIOS tarifas'!$D:$E,2,0)</f>
        <v>Moderado</v>
      </c>
      <c r="H165" s="2">
        <f>VLOOKUP(F165,'[3]CLUSTER_MUNICIPIOS tarifas'!$D:$F,3,0)</f>
        <v>19698</v>
      </c>
      <c r="I165" s="2" t="s">
        <v>187</v>
      </c>
      <c r="J165" s="18">
        <v>45323</v>
      </c>
      <c r="K165" s="8" t="s">
        <v>22</v>
      </c>
      <c r="L165" s="8" t="s">
        <v>23</v>
      </c>
      <c r="M165" s="5"/>
      <c r="N165" s="2">
        <v>4</v>
      </c>
      <c r="O165" s="2">
        <v>13</v>
      </c>
      <c r="P165" s="2"/>
      <c r="Q165" s="2">
        <v>5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>
        <f t="shared" si="6"/>
        <v>22</v>
      </c>
    </row>
    <row r="166" spans="1:29" x14ac:dyDescent="0.2">
      <c r="A166" s="2" t="s">
        <v>359</v>
      </c>
      <c r="B166" s="2" t="s">
        <v>19</v>
      </c>
      <c r="C166" s="27">
        <v>1</v>
      </c>
      <c r="D166" s="2" t="s">
        <v>20</v>
      </c>
      <c r="E166" s="2" t="str">
        <f>VLOOKUP(D166,[1]Comunas!$A:$E,5,0)</f>
        <v>Cauca</v>
      </c>
      <c r="F166" s="7" t="str">
        <f t="shared" si="5"/>
        <v>CaucaPOPAYAN</v>
      </c>
      <c r="G166" s="2" t="str">
        <f>VLOOKUP(F166,'[2]CLUSTER_MUNICIPIOS tarifas'!$D:$E,2,0)</f>
        <v>Moderado</v>
      </c>
      <c r="H166" s="2">
        <f>VLOOKUP(F166,'[3]CLUSTER_MUNICIPIOS tarifas'!$D:$F,3,0)</f>
        <v>19001</v>
      </c>
      <c r="I166" s="2" t="s">
        <v>188</v>
      </c>
      <c r="J166" s="18">
        <v>45323</v>
      </c>
      <c r="K166" s="8" t="s">
        <v>22</v>
      </c>
      <c r="L166" s="8" t="s">
        <v>23</v>
      </c>
      <c r="M166" s="5"/>
      <c r="N166" s="2">
        <v>2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>
        <f t="shared" si="6"/>
        <v>2</v>
      </c>
    </row>
    <row r="167" spans="1:29" x14ac:dyDescent="0.2">
      <c r="A167" s="2" t="s">
        <v>359</v>
      </c>
      <c r="B167" s="2" t="s">
        <v>19</v>
      </c>
      <c r="C167" s="27">
        <v>1</v>
      </c>
      <c r="D167" s="2" t="s">
        <v>20</v>
      </c>
      <c r="E167" s="2" t="str">
        <f>VLOOKUP(D167,[1]Comunas!$A:$E,5,0)</f>
        <v>Cauca</v>
      </c>
      <c r="F167" s="7" t="str">
        <f t="shared" si="5"/>
        <v>CaucaPOPAYAN</v>
      </c>
      <c r="G167" s="2" t="str">
        <f>VLOOKUP(F167,'[2]CLUSTER_MUNICIPIOS tarifas'!$D:$E,2,0)</f>
        <v>Moderado</v>
      </c>
      <c r="H167" s="2">
        <f>VLOOKUP(F167,'[3]CLUSTER_MUNICIPIOS tarifas'!$D:$F,3,0)</f>
        <v>19001</v>
      </c>
      <c r="I167" s="2" t="s">
        <v>189</v>
      </c>
      <c r="J167" s="18">
        <v>45323</v>
      </c>
      <c r="K167" s="8" t="s">
        <v>22</v>
      </c>
      <c r="L167" s="8" t="s">
        <v>23</v>
      </c>
      <c r="M167" s="5"/>
      <c r="N167" s="2">
        <v>3</v>
      </c>
      <c r="O167" s="2">
        <v>3</v>
      </c>
      <c r="P167" s="2"/>
      <c r="Q167" s="2">
        <v>1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>
        <f t="shared" si="6"/>
        <v>7</v>
      </c>
    </row>
    <row r="168" spans="1:29" x14ac:dyDescent="0.2">
      <c r="A168" s="2" t="s">
        <v>359</v>
      </c>
      <c r="B168" s="2" t="s">
        <v>19</v>
      </c>
      <c r="C168" s="27">
        <v>1</v>
      </c>
      <c r="D168" s="2" t="s">
        <v>20</v>
      </c>
      <c r="E168" s="2" t="str">
        <f>VLOOKUP(D168,[1]Comunas!$A:$E,5,0)</f>
        <v>Cauca</v>
      </c>
      <c r="F168" s="7" t="str">
        <f t="shared" si="5"/>
        <v>CaucaPOPAYAN</v>
      </c>
      <c r="G168" s="2" t="str">
        <f>VLOOKUP(F168,'[2]CLUSTER_MUNICIPIOS tarifas'!$D:$E,2,0)</f>
        <v>Moderado</v>
      </c>
      <c r="H168" s="2">
        <f>VLOOKUP(F168,'[3]CLUSTER_MUNICIPIOS tarifas'!$D:$F,3,0)</f>
        <v>19001</v>
      </c>
      <c r="I168" s="2" t="s">
        <v>190</v>
      </c>
      <c r="J168" s="18">
        <v>45323</v>
      </c>
      <c r="K168" s="8" t="s">
        <v>22</v>
      </c>
      <c r="L168" s="8" t="s">
        <v>23</v>
      </c>
      <c r="M168" s="5"/>
      <c r="N168" s="2">
        <v>19</v>
      </c>
      <c r="O168" s="2"/>
      <c r="P168" s="2">
        <v>1</v>
      </c>
      <c r="Q168" s="2">
        <v>12</v>
      </c>
      <c r="R168" s="2">
        <v>3</v>
      </c>
      <c r="S168" s="2"/>
      <c r="T168" s="2">
        <v>1</v>
      </c>
      <c r="U168" s="2"/>
      <c r="V168" s="2">
        <v>5</v>
      </c>
      <c r="W168" s="2"/>
      <c r="X168" s="2"/>
      <c r="Y168" s="2"/>
      <c r="Z168" s="2"/>
      <c r="AA168" s="2"/>
      <c r="AB168" s="2"/>
      <c r="AC168" s="2">
        <f t="shared" si="6"/>
        <v>41</v>
      </c>
    </row>
    <row r="169" spans="1:29" x14ac:dyDescent="0.2">
      <c r="A169" s="2" t="s">
        <v>359</v>
      </c>
      <c r="B169" s="2" t="s">
        <v>19</v>
      </c>
      <c r="C169" s="27">
        <v>1</v>
      </c>
      <c r="D169" s="2" t="s">
        <v>20</v>
      </c>
      <c r="E169" s="2" t="str">
        <f>VLOOKUP(D169,[1]Comunas!$A:$E,5,0)</f>
        <v>Cauca</v>
      </c>
      <c r="F169" s="7" t="str">
        <f t="shared" si="5"/>
        <v>CaucaPOPAYAN</v>
      </c>
      <c r="G169" s="2" t="str">
        <f>VLOOKUP(F169,'[2]CLUSTER_MUNICIPIOS tarifas'!$D:$E,2,0)</f>
        <v>Moderado</v>
      </c>
      <c r="H169" s="2">
        <f>VLOOKUP(F169,'[3]CLUSTER_MUNICIPIOS tarifas'!$D:$F,3,0)</f>
        <v>19001</v>
      </c>
      <c r="I169" s="2" t="s">
        <v>191</v>
      </c>
      <c r="J169" s="18">
        <v>45323</v>
      </c>
      <c r="K169" s="8" t="s">
        <v>22</v>
      </c>
      <c r="L169" s="8" t="s">
        <v>23</v>
      </c>
      <c r="M169" s="5"/>
      <c r="N169" s="2">
        <v>25</v>
      </c>
      <c r="O169" s="2">
        <v>3</v>
      </c>
      <c r="P169" s="2"/>
      <c r="Q169" s="2"/>
      <c r="R169" s="2">
        <v>20</v>
      </c>
      <c r="S169" s="2"/>
      <c r="T169" s="2">
        <v>2</v>
      </c>
      <c r="U169" s="2"/>
      <c r="V169" s="2"/>
      <c r="W169" s="2"/>
      <c r="X169" s="2"/>
      <c r="Y169" s="2"/>
      <c r="Z169" s="2"/>
      <c r="AA169" s="2"/>
      <c r="AB169" s="2"/>
      <c r="AC169" s="2">
        <f t="shared" si="6"/>
        <v>50</v>
      </c>
    </row>
    <row r="170" spans="1:29" x14ac:dyDescent="0.2">
      <c r="A170" s="2" t="s">
        <v>359</v>
      </c>
      <c r="B170" s="2" t="s">
        <v>19</v>
      </c>
      <c r="C170" s="27">
        <v>1</v>
      </c>
      <c r="D170" s="2" t="s">
        <v>20</v>
      </c>
      <c r="E170" s="2" t="str">
        <f>VLOOKUP(D170,[1]Comunas!$A:$E,5,0)</f>
        <v>Cauca</v>
      </c>
      <c r="F170" s="7" t="str">
        <f t="shared" si="5"/>
        <v>CaucaPOPAYAN</v>
      </c>
      <c r="G170" s="2" t="str">
        <f>VLOOKUP(F170,'[2]CLUSTER_MUNICIPIOS tarifas'!$D:$E,2,0)</f>
        <v>Moderado</v>
      </c>
      <c r="H170" s="2">
        <f>VLOOKUP(F170,'[3]CLUSTER_MUNICIPIOS tarifas'!$D:$F,3,0)</f>
        <v>19001</v>
      </c>
      <c r="I170" s="2" t="s">
        <v>192</v>
      </c>
      <c r="J170" s="18">
        <v>45323</v>
      </c>
      <c r="K170" s="8" t="s">
        <v>22</v>
      </c>
      <c r="L170" s="8" t="s">
        <v>23</v>
      </c>
      <c r="M170" s="5"/>
      <c r="N170" s="2">
        <v>3</v>
      </c>
      <c r="O170" s="2"/>
      <c r="P170" s="2"/>
      <c r="Q170" s="2">
        <v>2</v>
      </c>
      <c r="R170" s="2">
        <v>4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>
        <f t="shared" si="6"/>
        <v>9</v>
      </c>
    </row>
    <row r="171" spans="1:29" x14ac:dyDescent="0.2">
      <c r="A171" s="2" t="s">
        <v>359</v>
      </c>
      <c r="B171" s="2" t="s">
        <v>19</v>
      </c>
      <c r="C171" s="27">
        <v>1</v>
      </c>
      <c r="D171" s="2" t="s">
        <v>20</v>
      </c>
      <c r="E171" s="2" t="str">
        <f>VLOOKUP(D171,[1]Comunas!$A:$E,5,0)</f>
        <v>Cauca</v>
      </c>
      <c r="F171" s="7" t="str">
        <f t="shared" si="5"/>
        <v>CaucaPOPAYAN</v>
      </c>
      <c r="G171" s="2" t="str">
        <f>VLOOKUP(F171,'[2]CLUSTER_MUNICIPIOS tarifas'!$D:$E,2,0)</f>
        <v>Moderado</v>
      </c>
      <c r="H171" s="2">
        <f>VLOOKUP(F171,'[3]CLUSTER_MUNICIPIOS tarifas'!$D:$F,3,0)</f>
        <v>19001</v>
      </c>
      <c r="I171" s="2" t="s">
        <v>193</v>
      </c>
      <c r="J171" s="18">
        <v>45323</v>
      </c>
      <c r="K171" s="8" t="s">
        <v>22</v>
      </c>
      <c r="L171" s="8" t="s">
        <v>23</v>
      </c>
      <c r="M171" s="5"/>
      <c r="N171" s="2">
        <v>5</v>
      </c>
      <c r="O171" s="2"/>
      <c r="P171" s="2"/>
      <c r="Q171" s="2">
        <v>4</v>
      </c>
      <c r="R171" s="2">
        <v>5</v>
      </c>
      <c r="S171" s="2"/>
      <c r="T171" s="2">
        <v>2</v>
      </c>
      <c r="U171" s="2"/>
      <c r="V171" s="2"/>
      <c r="W171" s="2"/>
      <c r="X171" s="2"/>
      <c r="Y171" s="2"/>
      <c r="Z171" s="2"/>
      <c r="AA171" s="2"/>
      <c r="AB171" s="2"/>
      <c r="AC171" s="2">
        <f t="shared" si="6"/>
        <v>16</v>
      </c>
    </row>
    <row r="172" spans="1:29" x14ac:dyDescent="0.2">
      <c r="A172" s="2" t="s">
        <v>359</v>
      </c>
      <c r="B172" s="2" t="s">
        <v>19</v>
      </c>
      <c r="C172" s="27">
        <v>1</v>
      </c>
      <c r="D172" s="2" t="s">
        <v>20</v>
      </c>
      <c r="E172" s="2" t="str">
        <f>VLOOKUP(D172,[1]Comunas!$A:$E,5,0)</f>
        <v>Cauca</v>
      </c>
      <c r="F172" s="7" t="str">
        <f t="shared" si="5"/>
        <v>CaucaPOPAYAN</v>
      </c>
      <c r="G172" s="2" t="str">
        <f>VLOOKUP(F172,'[2]CLUSTER_MUNICIPIOS tarifas'!$D:$E,2,0)</f>
        <v>Moderado</v>
      </c>
      <c r="H172" s="2">
        <f>VLOOKUP(F172,'[3]CLUSTER_MUNICIPIOS tarifas'!$D:$F,3,0)</f>
        <v>19001</v>
      </c>
      <c r="I172" s="2" t="s">
        <v>194</v>
      </c>
      <c r="J172" s="18">
        <v>45323</v>
      </c>
      <c r="K172" s="8" t="s">
        <v>22</v>
      </c>
      <c r="L172" s="8" t="s">
        <v>23</v>
      </c>
      <c r="M172" s="5"/>
      <c r="N172" s="2">
        <v>28</v>
      </c>
      <c r="O172" s="2">
        <v>15</v>
      </c>
      <c r="P172" s="2"/>
      <c r="Q172" s="2">
        <v>9</v>
      </c>
      <c r="R172" s="2">
        <v>14</v>
      </c>
      <c r="S172" s="2"/>
      <c r="T172" s="2">
        <v>3</v>
      </c>
      <c r="U172" s="2"/>
      <c r="V172" s="2"/>
      <c r="W172" s="2"/>
      <c r="X172" s="2"/>
      <c r="Y172" s="2"/>
      <c r="Z172" s="2"/>
      <c r="AA172" s="2"/>
      <c r="AB172" s="2"/>
      <c r="AC172" s="2">
        <f t="shared" si="6"/>
        <v>69</v>
      </c>
    </row>
    <row r="173" spans="1:29" x14ac:dyDescent="0.2">
      <c r="A173" s="2" t="s">
        <v>359</v>
      </c>
      <c r="B173" s="2" t="s">
        <v>19</v>
      </c>
      <c r="C173" s="27">
        <v>1</v>
      </c>
      <c r="D173" s="2" t="s">
        <v>20</v>
      </c>
      <c r="E173" s="2" t="str">
        <f>VLOOKUP(D173,[1]Comunas!$A:$E,5,0)</f>
        <v>Cauca</v>
      </c>
      <c r="F173" s="7" t="str">
        <f t="shared" si="5"/>
        <v>CaucaPOPAYAN</v>
      </c>
      <c r="G173" s="2" t="str">
        <f>VLOOKUP(F173,'[2]CLUSTER_MUNICIPIOS tarifas'!$D:$E,2,0)</f>
        <v>Moderado</v>
      </c>
      <c r="H173" s="2">
        <f>VLOOKUP(F173,'[3]CLUSTER_MUNICIPIOS tarifas'!$D:$F,3,0)</f>
        <v>19001</v>
      </c>
      <c r="I173" s="2" t="s">
        <v>195</v>
      </c>
      <c r="J173" s="18">
        <v>45323</v>
      </c>
      <c r="K173" s="8" t="s">
        <v>22</v>
      </c>
      <c r="L173" s="8" t="s">
        <v>23</v>
      </c>
      <c r="M173" s="5"/>
      <c r="N173" s="2">
        <v>4</v>
      </c>
      <c r="O173" s="2">
        <v>3</v>
      </c>
      <c r="P173" s="2"/>
      <c r="Q173" s="2"/>
      <c r="R173" s="2">
        <v>12</v>
      </c>
      <c r="S173" s="2"/>
      <c r="T173" s="2">
        <v>2</v>
      </c>
      <c r="U173" s="2"/>
      <c r="V173" s="2"/>
      <c r="W173" s="2"/>
      <c r="X173" s="2"/>
      <c r="Y173" s="2"/>
      <c r="Z173" s="2"/>
      <c r="AA173" s="2"/>
      <c r="AB173" s="2"/>
      <c r="AC173" s="2">
        <f t="shared" si="6"/>
        <v>21</v>
      </c>
    </row>
    <row r="174" spans="1:29" x14ac:dyDescent="0.2">
      <c r="A174" s="2" t="s">
        <v>359</v>
      </c>
      <c r="B174" s="2" t="s">
        <v>19</v>
      </c>
      <c r="C174" s="27">
        <v>1</v>
      </c>
      <c r="D174" s="2" t="s">
        <v>20</v>
      </c>
      <c r="E174" s="2" t="str">
        <f>VLOOKUP(D174,[1]Comunas!$A:$E,5,0)</f>
        <v>Cauca</v>
      </c>
      <c r="F174" s="7" t="str">
        <f t="shared" si="5"/>
        <v>CaucaPOPAYAN</v>
      </c>
      <c r="G174" s="2" t="str">
        <f>VLOOKUP(F174,'[2]CLUSTER_MUNICIPIOS tarifas'!$D:$E,2,0)</f>
        <v>Moderado</v>
      </c>
      <c r="H174" s="2">
        <f>VLOOKUP(F174,'[3]CLUSTER_MUNICIPIOS tarifas'!$D:$F,3,0)</f>
        <v>19001</v>
      </c>
      <c r="I174" s="2" t="s">
        <v>196</v>
      </c>
      <c r="J174" s="18">
        <v>45323</v>
      </c>
      <c r="K174" s="8" t="s">
        <v>22</v>
      </c>
      <c r="L174" s="8" t="s">
        <v>23</v>
      </c>
      <c r="M174" s="5"/>
      <c r="N174" s="2">
        <v>3</v>
      </c>
      <c r="O174" s="2">
        <v>3</v>
      </c>
      <c r="P174" s="2"/>
      <c r="Q174" s="2">
        <v>7</v>
      </c>
      <c r="R174" s="2">
        <v>21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>
        <f t="shared" si="6"/>
        <v>34</v>
      </c>
    </row>
    <row r="175" spans="1:29" x14ac:dyDescent="0.2">
      <c r="A175" s="2" t="s">
        <v>359</v>
      </c>
      <c r="B175" s="2" t="s">
        <v>19</v>
      </c>
      <c r="C175" s="27">
        <v>1</v>
      </c>
      <c r="D175" s="2" t="s">
        <v>20</v>
      </c>
      <c r="E175" s="2" t="str">
        <f>VLOOKUP(D175,[1]Comunas!$A:$E,5,0)</f>
        <v>Cauca</v>
      </c>
      <c r="F175" s="7" t="str">
        <f t="shared" si="5"/>
        <v>CaucaPOPAYAN</v>
      </c>
      <c r="G175" s="2" t="str">
        <f>VLOOKUP(F175,'[2]CLUSTER_MUNICIPIOS tarifas'!$D:$E,2,0)</f>
        <v>Moderado</v>
      </c>
      <c r="H175" s="2">
        <f>VLOOKUP(F175,'[3]CLUSTER_MUNICIPIOS tarifas'!$D:$F,3,0)</f>
        <v>19001</v>
      </c>
      <c r="I175" s="2" t="s">
        <v>197</v>
      </c>
      <c r="J175" s="18">
        <v>45323</v>
      </c>
      <c r="K175" s="8" t="s">
        <v>22</v>
      </c>
      <c r="L175" s="8" t="s">
        <v>23</v>
      </c>
      <c r="M175" s="5"/>
      <c r="N175" s="2">
        <v>30</v>
      </c>
      <c r="O175" s="2"/>
      <c r="P175" s="2"/>
      <c r="Q175" s="2">
        <v>4</v>
      </c>
      <c r="R175" s="2">
        <v>16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>
        <f t="shared" si="6"/>
        <v>50</v>
      </c>
    </row>
    <row r="176" spans="1:29" x14ac:dyDescent="0.2">
      <c r="A176" s="2" t="s">
        <v>359</v>
      </c>
      <c r="B176" s="2" t="s">
        <v>19</v>
      </c>
      <c r="C176" s="27">
        <v>1</v>
      </c>
      <c r="D176" s="2" t="s">
        <v>20</v>
      </c>
      <c r="E176" s="2" t="str">
        <f>VLOOKUP(D176,[1]Comunas!$A:$E,5,0)</f>
        <v>Cauca</v>
      </c>
      <c r="F176" s="7" t="str">
        <f t="shared" si="5"/>
        <v>CaucaPOPAYAN</v>
      </c>
      <c r="G176" s="2" t="str">
        <f>VLOOKUP(F176,'[2]CLUSTER_MUNICIPIOS tarifas'!$D:$E,2,0)</f>
        <v>Moderado</v>
      </c>
      <c r="H176" s="2">
        <f>VLOOKUP(F176,'[3]CLUSTER_MUNICIPIOS tarifas'!$D:$F,3,0)</f>
        <v>19001</v>
      </c>
      <c r="I176" s="2" t="s">
        <v>198</v>
      </c>
      <c r="J176" s="18">
        <v>45323</v>
      </c>
      <c r="K176" s="8" t="s">
        <v>22</v>
      </c>
      <c r="L176" s="8" t="s">
        <v>23</v>
      </c>
      <c r="M176" s="5"/>
      <c r="N176" s="2">
        <v>15</v>
      </c>
      <c r="O176" s="2">
        <v>7</v>
      </c>
      <c r="P176" s="2"/>
      <c r="Q176" s="2">
        <v>2</v>
      </c>
      <c r="R176" s="2">
        <v>9</v>
      </c>
      <c r="S176" s="2"/>
      <c r="T176" s="2">
        <v>1</v>
      </c>
      <c r="U176" s="2"/>
      <c r="V176" s="2"/>
      <c r="W176" s="2"/>
      <c r="X176" s="2"/>
      <c r="Y176" s="2"/>
      <c r="Z176" s="2"/>
      <c r="AA176" s="2"/>
      <c r="AB176" s="2"/>
      <c r="AC176" s="2">
        <f t="shared" si="6"/>
        <v>34</v>
      </c>
    </row>
    <row r="177" spans="1:29" x14ac:dyDescent="0.2">
      <c r="A177" s="2" t="s">
        <v>359</v>
      </c>
      <c r="B177" s="2" t="s">
        <v>19</v>
      </c>
      <c r="C177" s="27">
        <v>1</v>
      </c>
      <c r="D177" s="2" t="s">
        <v>20</v>
      </c>
      <c r="E177" s="2" t="str">
        <f>VLOOKUP(D177,[1]Comunas!$A:$E,5,0)</f>
        <v>Cauca</v>
      </c>
      <c r="F177" s="7" t="str">
        <f t="shared" si="5"/>
        <v>CaucaPOPAYAN</v>
      </c>
      <c r="G177" s="2" t="str">
        <f>VLOOKUP(F177,'[2]CLUSTER_MUNICIPIOS tarifas'!$D:$E,2,0)</f>
        <v>Moderado</v>
      </c>
      <c r="H177" s="2">
        <f>VLOOKUP(F177,'[3]CLUSTER_MUNICIPIOS tarifas'!$D:$F,3,0)</f>
        <v>19001</v>
      </c>
      <c r="I177" s="2" t="s">
        <v>199</v>
      </c>
      <c r="J177" s="18">
        <v>45323</v>
      </c>
      <c r="K177" s="8" t="s">
        <v>22</v>
      </c>
      <c r="L177" s="8" t="s">
        <v>23</v>
      </c>
      <c r="M177" s="5"/>
      <c r="N177" s="2">
        <v>26</v>
      </c>
      <c r="O177" s="2"/>
      <c r="P177" s="2">
        <v>3</v>
      </c>
      <c r="Q177" s="2">
        <v>7</v>
      </c>
      <c r="R177" s="2">
        <v>19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>
        <f t="shared" si="6"/>
        <v>55</v>
      </c>
    </row>
    <row r="178" spans="1:29" x14ac:dyDescent="0.2">
      <c r="A178" s="2" t="s">
        <v>359</v>
      </c>
      <c r="B178" s="2" t="s">
        <v>19</v>
      </c>
      <c r="C178" s="27">
        <v>1</v>
      </c>
      <c r="D178" s="2" t="s">
        <v>20</v>
      </c>
      <c r="E178" s="2" t="str">
        <f>VLOOKUP(D178,[1]Comunas!$A:$E,5,0)</f>
        <v>Cauca</v>
      </c>
      <c r="F178" s="7" t="str">
        <f t="shared" si="5"/>
        <v>CaucaPOPAYAN</v>
      </c>
      <c r="G178" s="2" t="str">
        <f>VLOOKUP(F178,'[2]CLUSTER_MUNICIPIOS tarifas'!$D:$E,2,0)</f>
        <v>Moderado</v>
      </c>
      <c r="H178" s="2">
        <f>VLOOKUP(F178,'[3]CLUSTER_MUNICIPIOS tarifas'!$D:$F,3,0)</f>
        <v>19001</v>
      </c>
      <c r="I178" s="2" t="s">
        <v>200</v>
      </c>
      <c r="J178" s="18">
        <v>45323</v>
      </c>
      <c r="K178" s="8" t="s">
        <v>22</v>
      </c>
      <c r="L178" s="8" t="s">
        <v>23</v>
      </c>
      <c r="M178" s="5"/>
      <c r="N178" s="2"/>
      <c r="O178" s="2">
        <v>3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>
        <f t="shared" si="6"/>
        <v>3</v>
      </c>
    </row>
    <row r="179" spans="1:29" x14ac:dyDescent="0.2">
      <c r="A179" s="2" t="s">
        <v>359</v>
      </c>
      <c r="B179" s="2" t="s">
        <v>19</v>
      </c>
      <c r="C179" s="27">
        <v>1</v>
      </c>
      <c r="D179" s="2" t="s">
        <v>20</v>
      </c>
      <c r="E179" s="2" t="str">
        <f>VLOOKUP(D179,[1]Comunas!$A:$E,5,0)</f>
        <v>Cauca</v>
      </c>
      <c r="F179" s="7" t="str">
        <f t="shared" si="5"/>
        <v>CaucaPOPAYAN</v>
      </c>
      <c r="G179" s="2" t="str">
        <f>VLOOKUP(F179,'[2]CLUSTER_MUNICIPIOS tarifas'!$D:$E,2,0)</f>
        <v>Moderado</v>
      </c>
      <c r="H179" s="2">
        <f>VLOOKUP(F179,'[3]CLUSTER_MUNICIPIOS tarifas'!$D:$F,3,0)</f>
        <v>19001</v>
      </c>
      <c r="I179" s="2" t="s">
        <v>201</v>
      </c>
      <c r="J179" s="18">
        <v>45323</v>
      </c>
      <c r="K179" s="8" t="s">
        <v>22</v>
      </c>
      <c r="L179" s="8" t="s">
        <v>23</v>
      </c>
      <c r="M179" s="5"/>
      <c r="N179" s="2">
        <v>4</v>
      </c>
      <c r="O179" s="2"/>
      <c r="P179" s="2">
        <v>1</v>
      </c>
      <c r="Q179" s="2">
        <v>1</v>
      </c>
      <c r="R179" s="2">
        <v>2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>
        <f t="shared" si="6"/>
        <v>8</v>
      </c>
    </row>
    <row r="180" spans="1:29" x14ac:dyDescent="0.2">
      <c r="A180" s="2" t="s">
        <v>359</v>
      </c>
      <c r="B180" s="2" t="s">
        <v>19</v>
      </c>
      <c r="C180" s="27">
        <v>1</v>
      </c>
      <c r="D180" s="2" t="s">
        <v>20</v>
      </c>
      <c r="E180" s="2" t="str">
        <f>VLOOKUP(D180,[1]Comunas!$A:$E,5,0)</f>
        <v>Cauca</v>
      </c>
      <c r="F180" s="7" t="str">
        <f t="shared" si="5"/>
        <v>CaucaPOPAYAN</v>
      </c>
      <c r="G180" s="2" t="str">
        <f>VLOOKUP(F180,'[2]CLUSTER_MUNICIPIOS tarifas'!$D:$E,2,0)</f>
        <v>Moderado</v>
      </c>
      <c r="H180" s="2">
        <f>VLOOKUP(F180,'[3]CLUSTER_MUNICIPIOS tarifas'!$D:$F,3,0)</f>
        <v>19001</v>
      </c>
      <c r="I180" s="2" t="s">
        <v>202</v>
      </c>
      <c r="J180" s="18">
        <v>45323</v>
      </c>
      <c r="K180" s="8" t="s">
        <v>22</v>
      </c>
      <c r="L180" s="8" t="s">
        <v>23</v>
      </c>
      <c r="M180" s="5"/>
      <c r="N180" s="2">
        <v>33</v>
      </c>
      <c r="O180" s="2">
        <v>2</v>
      </c>
      <c r="P180" s="2">
        <v>2</v>
      </c>
      <c r="Q180" s="2">
        <v>8</v>
      </c>
      <c r="R180" s="2">
        <v>23</v>
      </c>
      <c r="S180" s="2"/>
      <c r="T180" s="2">
        <v>5</v>
      </c>
      <c r="U180" s="2"/>
      <c r="V180" s="2"/>
      <c r="W180" s="2"/>
      <c r="X180" s="2"/>
      <c r="Y180" s="2"/>
      <c r="Z180" s="2"/>
      <c r="AA180" s="2"/>
      <c r="AB180" s="2"/>
      <c r="AC180" s="2">
        <f t="shared" si="6"/>
        <v>73</v>
      </c>
    </row>
    <row r="181" spans="1:29" x14ac:dyDescent="0.2">
      <c r="A181" s="2" t="s">
        <v>359</v>
      </c>
      <c r="B181" s="2" t="s">
        <v>19</v>
      </c>
      <c r="C181" s="27">
        <v>1</v>
      </c>
      <c r="D181" s="2" t="s">
        <v>20</v>
      </c>
      <c r="E181" s="2" t="str">
        <f>VLOOKUP(D181,[1]Comunas!$A:$E,5,0)</f>
        <v>Cauca</v>
      </c>
      <c r="F181" s="7" t="str">
        <f t="shared" si="5"/>
        <v>CaucaPOPAYAN</v>
      </c>
      <c r="G181" s="2" t="str">
        <f>VLOOKUP(F181,'[2]CLUSTER_MUNICIPIOS tarifas'!$D:$E,2,0)</f>
        <v>Moderado</v>
      </c>
      <c r="H181" s="2">
        <f>VLOOKUP(F181,'[3]CLUSTER_MUNICIPIOS tarifas'!$D:$F,3,0)</f>
        <v>19001</v>
      </c>
      <c r="I181" s="2" t="s">
        <v>203</v>
      </c>
      <c r="J181" s="18">
        <v>45323</v>
      </c>
      <c r="K181" s="8" t="s">
        <v>22</v>
      </c>
      <c r="L181" s="8" t="s">
        <v>23</v>
      </c>
      <c r="M181" s="5"/>
      <c r="N181" s="2"/>
      <c r="O181" s="2"/>
      <c r="P181" s="2"/>
      <c r="Q181" s="2"/>
      <c r="R181" s="2">
        <v>2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>
        <f t="shared" si="6"/>
        <v>2</v>
      </c>
    </row>
    <row r="182" spans="1:29" x14ac:dyDescent="0.2">
      <c r="A182" s="2" t="s">
        <v>359</v>
      </c>
      <c r="B182" s="2" t="s">
        <v>19</v>
      </c>
      <c r="C182" s="27">
        <v>1</v>
      </c>
      <c r="D182" s="2" t="s">
        <v>20</v>
      </c>
      <c r="E182" s="2" t="str">
        <f>VLOOKUP(D182,[1]Comunas!$A:$E,5,0)</f>
        <v>Cauca</v>
      </c>
      <c r="F182" s="7" t="str">
        <f t="shared" si="5"/>
        <v>CaucaPOPAYAN</v>
      </c>
      <c r="G182" s="2" t="str">
        <f>VLOOKUP(F182,'[2]CLUSTER_MUNICIPIOS tarifas'!$D:$E,2,0)</f>
        <v>Moderado</v>
      </c>
      <c r="H182" s="2">
        <f>VLOOKUP(F182,'[3]CLUSTER_MUNICIPIOS tarifas'!$D:$F,3,0)</f>
        <v>19001</v>
      </c>
      <c r="I182" s="2" t="s">
        <v>204</v>
      </c>
      <c r="J182" s="18">
        <v>45323</v>
      </c>
      <c r="K182" s="8" t="s">
        <v>22</v>
      </c>
      <c r="L182" s="8" t="s">
        <v>23</v>
      </c>
      <c r="M182" s="5"/>
      <c r="N182" s="2"/>
      <c r="O182" s="2"/>
      <c r="P182" s="2"/>
      <c r="Q182" s="2"/>
      <c r="R182" s="2">
        <v>2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>
        <f t="shared" si="6"/>
        <v>2</v>
      </c>
    </row>
    <row r="183" spans="1:29" x14ac:dyDescent="0.2">
      <c r="A183" s="2" t="s">
        <v>359</v>
      </c>
      <c r="B183" s="2" t="s">
        <v>19</v>
      </c>
      <c r="C183" s="27">
        <v>1</v>
      </c>
      <c r="D183" s="2" t="s">
        <v>20</v>
      </c>
      <c r="E183" s="2" t="str">
        <f>VLOOKUP(D183,[1]Comunas!$A:$E,5,0)</f>
        <v>Cauca</v>
      </c>
      <c r="F183" s="7" t="str">
        <f t="shared" si="5"/>
        <v>CaucaPOPAYAN</v>
      </c>
      <c r="G183" s="2" t="str">
        <f>VLOOKUP(F183,'[2]CLUSTER_MUNICIPIOS tarifas'!$D:$E,2,0)</f>
        <v>Moderado</v>
      </c>
      <c r="H183" s="2">
        <f>VLOOKUP(F183,'[3]CLUSTER_MUNICIPIOS tarifas'!$D:$F,3,0)</f>
        <v>19001</v>
      </c>
      <c r="I183" s="2" t="s">
        <v>205</v>
      </c>
      <c r="J183" s="18">
        <v>45323</v>
      </c>
      <c r="K183" s="8" t="s">
        <v>22</v>
      </c>
      <c r="L183" s="8" t="s">
        <v>23</v>
      </c>
      <c r="M183" s="5"/>
      <c r="N183" s="2"/>
      <c r="O183" s="2"/>
      <c r="P183" s="2"/>
      <c r="Q183" s="2">
        <v>2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>
        <f t="shared" si="6"/>
        <v>2</v>
      </c>
    </row>
    <row r="184" spans="1:29" x14ac:dyDescent="0.2">
      <c r="A184" s="2" t="s">
        <v>359</v>
      </c>
      <c r="B184" s="2" t="s">
        <v>19</v>
      </c>
      <c r="C184" s="27">
        <v>1</v>
      </c>
      <c r="D184" s="2" t="s">
        <v>20</v>
      </c>
      <c r="E184" s="2" t="str">
        <f>VLOOKUP(D184,[1]Comunas!$A:$E,5,0)</f>
        <v>Cauca</v>
      </c>
      <c r="F184" s="7" t="str">
        <f t="shared" si="5"/>
        <v>CaucaPOPAYAN</v>
      </c>
      <c r="G184" s="2" t="str">
        <f>VLOOKUP(F184,'[2]CLUSTER_MUNICIPIOS tarifas'!$D:$E,2,0)</f>
        <v>Moderado</v>
      </c>
      <c r="H184" s="2">
        <f>VLOOKUP(F184,'[3]CLUSTER_MUNICIPIOS tarifas'!$D:$F,3,0)</f>
        <v>19001</v>
      </c>
      <c r="I184" s="2" t="s">
        <v>206</v>
      </c>
      <c r="J184" s="18">
        <v>45323</v>
      </c>
      <c r="K184" s="8" t="s">
        <v>22</v>
      </c>
      <c r="L184" s="8" t="s">
        <v>23</v>
      </c>
      <c r="M184" s="5"/>
      <c r="N184" s="2"/>
      <c r="O184" s="2"/>
      <c r="P184" s="2"/>
      <c r="Q184" s="2">
        <v>2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>
        <f t="shared" si="6"/>
        <v>2</v>
      </c>
    </row>
    <row r="185" spans="1:29" x14ac:dyDescent="0.2">
      <c r="A185" s="2" t="s">
        <v>359</v>
      </c>
      <c r="B185" s="2" t="s">
        <v>19</v>
      </c>
      <c r="C185" s="27">
        <v>1</v>
      </c>
      <c r="D185" s="2" t="s">
        <v>20</v>
      </c>
      <c r="E185" s="2" t="str">
        <f>VLOOKUP(D185,[1]Comunas!$A:$E,5,0)</f>
        <v>Cauca</v>
      </c>
      <c r="F185" s="7" t="str">
        <f t="shared" si="5"/>
        <v>CaucaPOPAYAN</v>
      </c>
      <c r="G185" s="2" t="str">
        <f>VLOOKUP(F185,'[2]CLUSTER_MUNICIPIOS tarifas'!$D:$E,2,0)</f>
        <v>Moderado</v>
      </c>
      <c r="H185" s="2">
        <f>VLOOKUP(F185,'[3]CLUSTER_MUNICIPIOS tarifas'!$D:$F,3,0)</f>
        <v>19001</v>
      </c>
      <c r="I185" s="2" t="s">
        <v>207</v>
      </c>
      <c r="J185" s="18">
        <v>45323</v>
      </c>
      <c r="K185" s="8" t="s">
        <v>22</v>
      </c>
      <c r="L185" s="8" t="s">
        <v>23</v>
      </c>
      <c r="M185" s="5"/>
      <c r="N185" s="2"/>
      <c r="O185" s="2"/>
      <c r="P185" s="2"/>
      <c r="Q185" s="2"/>
      <c r="R185" s="2">
        <v>4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>
        <f t="shared" si="6"/>
        <v>4</v>
      </c>
    </row>
    <row r="186" spans="1:29" x14ac:dyDescent="0.2">
      <c r="A186" s="2" t="s">
        <v>359</v>
      </c>
      <c r="B186" s="2" t="s">
        <v>19</v>
      </c>
      <c r="C186" s="27">
        <v>1</v>
      </c>
      <c r="D186" s="2" t="s">
        <v>20</v>
      </c>
      <c r="E186" s="2" t="str">
        <f>VLOOKUP(D186,[1]Comunas!$A:$E,5,0)</f>
        <v>Cauca</v>
      </c>
      <c r="F186" s="7" t="str">
        <f t="shared" si="5"/>
        <v>CaucaPOPAYAN</v>
      </c>
      <c r="G186" s="2" t="str">
        <f>VLOOKUP(F186,'[2]CLUSTER_MUNICIPIOS tarifas'!$D:$E,2,0)</f>
        <v>Moderado</v>
      </c>
      <c r="H186" s="2">
        <f>VLOOKUP(F186,'[3]CLUSTER_MUNICIPIOS tarifas'!$D:$F,3,0)</f>
        <v>19001</v>
      </c>
      <c r="I186" s="2" t="s">
        <v>208</v>
      </c>
      <c r="J186" s="18">
        <v>45323</v>
      </c>
      <c r="K186" s="8" t="s">
        <v>22</v>
      </c>
      <c r="L186" s="8" t="s">
        <v>23</v>
      </c>
      <c r="M186" s="5"/>
      <c r="N186" s="2">
        <v>4</v>
      </c>
      <c r="O186" s="2"/>
      <c r="P186" s="2">
        <v>1</v>
      </c>
      <c r="Q186" s="2">
        <v>2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>
        <f t="shared" si="6"/>
        <v>7</v>
      </c>
    </row>
    <row r="187" spans="1:29" x14ac:dyDescent="0.2">
      <c r="A187" s="2" t="s">
        <v>359</v>
      </c>
      <c r="B187" s="2" t="s">
        <v>19</v>
      </c>
      <c r="C187" s="27">
        <v>1</v>
      </c>
      <c r="D187" s="2" t="s">
        <v>20</v>
      </c>
      <c r="E187" s="2" t="str">
        <f>VLOOKUP(D187,[1]Comunas!$A:$E,5,0)</f>
        <v>Cauca</v>
      </c>
      <c r="F187" s="7" t="str">
        <f t="shared" si="5"/>
        <v>CaucaPOPAYAN</v>
      </c>
      <c r="G187" s="2" t="str">
        <f>VLOOKUP(F187,'[2]CLUSTER_MUNICIPIOS tarifas'!$D:$E,2,0)</f>
        <v>Moderado</v>
      </c>
      <c r="H187" s="2">
        <f>VLOOKUP(F187,'[3]CLUSTER_MUNICIPIOS tarifas'!$D:$F,3,0)</f>
        <v>19001</v>
      </c>
      <c r="I187" s="2" t="s">
        <v>209</v>
      </c>
      <c r="J187" s="18">
        <v>45323</v>
      </c>
      <c r="K187" s="8" t="s">
        <v>22</v>
      </c>
      <c r="L187" s="8" t="s">
        <v>23</v>
      </c>
      <c r="M187" s="5"/>
      <c r="N187" s="2">
        <v>3</v>
      </c>
      <c r="O187" s="2"/>
      <c r="P187" s="2"/>
      <c r="Q187" s="2">
        <v>2</v>
      </c>
      <c r="R187" s="2">
        <v>1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>
        <f t="shared" si="6"/>
        <v>6</v>
      </c>
    </row>
    <row r="188" spans="1:29" x14ac:dyDescent="0.2">
      <c r="A188" s="2" t="s">
        <v>359</v>
      </c>
      <c r="B188" s="2" t="s">
        <v>19</v>
      </c>
      <c r="C188" s="27">
        <v>1</v>
      </c>
      <c r="D188" s="2" t="s">
        <v>20</v>
      </c>
      <c r="E188" s="2" t="str">
        <f>VLOOKUP(D188,[1]Comunas!$A:$E,5,0)</f>
        <v>Cauca</v>
      </c>
      <c r="F188" s="7" t="str">
        <f t="shared" si="5"/>
        <v>CaucaPOPAYAN</v>
      </c>
      <c r="G188" s="2" t="str">
        <f>VLOOKUP(F188,'[2]CLUSTER_MUNICIPIOS tarifas'!$D:$E,2,0)</f>
        <v>Moderado</v>
      </c>
      <c r="H188" s="2">
        <f>VLOOKUP(F188,'[3]CLUSTER_MUNICIPIOS tarifas'!$D:$F,3,0)</f>
        <v>19001</v>
      </c>
      <c r="I188" s="2" t="s">
        <v>210</v>
      </c>
      <c r="J188" s="18">
        <v>45323</v>
      </c>
      <c r="K188" s="8" t="s">
        <v>22</v>
      </c>
      <c r="L188" s="8" t="s">
        <v>23</v>
      </c>
      <c r="M188" s="5"/>
      <c r="N188" s="2"/>
      <c r="O188" s="2"/>
      <c r="P188" s="2"/>
      <c r="Q188" s="2"/>
      <c r="R188" s="2">
        <v>1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>
        <f t="shared" si="6"/>
        <v>1</v>
      </c>
    </row>
    <row r="189" spans="1:29" x14ac:dyDescent="0.2">
      <c r="A189" s="2" t="s">
        <v>359</v>
      </c>
      <c r="B189" s="2" t="s">
        <v>19</v>
      </c>
      <c r="C189" s="27">
        <v>1</v>
      </c>
      <c r="D189" s="2" t="s">
        <v>20</v>
      </c>
      <c r="E189" s="2" t="str">
        <f>VLOOKUP(D189,[1]Comunas!$A:$E,5,0)</f>
        <v>Cauca</v>
      </c>
      <c r="F189" s="7" t="str">
        <f t="shared" si="5"/>
        <v>CaucaPOPAYAN</v>
      </c>
      <c r="G189" s="2" t="str">
        <f>VLOOKUP(F189,'[2]CLUSTER_MUNICIPIOS tarifas'!$D:$E,2,0)</f>
        <v>Moderado</v>
      </c>
      <c r="H189" s="2">
        <f>VLOOKUP(F189,'[3]CLUSTER_MUNICIPIOS tarifas'!$D:$F,3,0)</f>
        <v>19001</v>
      </c>
      <c r="I189" s="2" t="s">
        <v>211</v>
      </c>
      <c r="J189" s="18">
        <v>45323</v>
      </c>
      <c r="K189" s="8" t="s">
        <v>22</v>
      </c>
      <c r="L189" s="8" t="s">
        <v>23</v>
      </c>
      <c r="M189" s="5"/>
      <c r="N189" s="2">
        <v>6</v>
      </c>
      <c r="O189" s="2"/>
      <c r="P189" s="2"/>
      <c r="Q189" s="2"/>
      <c r="R189" s="2">
        <v>4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>
        <f t="shared" si="6"/>
        <v>10</v>
      </c>
    </row>
    <row r="190" spans="1:29" x14ac:dyDescent="0.2">
      <c r="A190" s="2" t="s">
        <v>359</v>
      </c>
      <c r="B190" s="2" t="s">
        <v>19</v>
      </c>
      <c r="C190" s="27">
        <v>1</v>
      </c>
      <c r="D190" s="2" t="s">
        <v>20</v>
      </c>
      <c r="E190" s="2" t="str">
        <f>VLOOKUP(D190,[1]Comunas!$A:$E,5,0)</f>
        <v>Cauca</v>
      </c>
      <c r="F190" s="7" t="str">
        <f t="shared" si="5"/>
        <v>CaucaPOPAYAN</v>
      </c>
      <c r="G190" s="2" t="str">
        <f>VLOOKUP(F190,'[2]CLUSTER_MUNICIPIOS tarifas'!$D:$E,2,0)</f>
        <v>Moderado</v>
      </c>
      <c r="H190" s="2">
        <f>VLOOKUP(F190,'[3]CLUSTER_MUNICIPIOS tarifas'!$D:$F,3,0)</f>
        <v>19001</v>
      </c>
      <c r="I190" s="2" t="s">
        <v>212</v>
      </c>
      <c r="J190" s="18">
        <v>45323</v>
      </c>
      <c r="K190" s="8" t="s">
        <v>22</v>
      </c>
      <c r="L190" s="8" t="s">
        <v>23</v>
      </c>
      <c r="M190" s="5"/>
      <c r="N190" s="2">
        <v>3</v>
      </c>
      <c r="O190" s="2"/>
      <c r="P190" s="2"/>
      <c r="Q190" s="2"/>
      <c r="R190" s="2">
        <v>6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>
        <f t="shared" si="6"/>
        <v>9</v>
      </c>
    </row>
    <row r="191" spans="1:29" x14ac:dyDescent="0.2">
      <c r="A191" s="2" t="s">
        <v>359</v>
      </c>
      <c r="B191" s="2" t="s">
        <v>19</v>
      </c>
      <c r="C191" s="27">
        <v>1</v>
      </c>
      <c r="D191" s="2" t="s">
        <v>20</v>
      </c>
      <c r="E191" s="2" t="str">
        <f>VLOOKUP(D191,[1]Comunas!$A:$E,5,0)</f>
        <v>Cauca</v>
      </c>
      <c r="F191" s="7" t="str">
        <f t="shared" si="5"/>
        <v>CaucaPOPAYAN</v>
      </c>
      <c r="G191" s="2" t="str">
        <f>VLOOKUP(F191,'[2]CLUSTER_MUNICIPIOS tarifas'!$D:$E,2,0)</f>
        <v>Moderado</v>
      </c>
      <c r="H191" s="2">
        <f>VLOOKUP(F191,'[3]CLUSTER_MUNICIPIOS tarifas'!$D:$F,3,0)</f>
        <v>19001</v>
      </c>
      <c r="I191" s="2" t="s">
        <v>213</v>
      </c>
      <c r="J191" s="18">
        <v>45323</v>
      </c>
      <c r="K191" s="8" t="s">
        <v>22</v>
      </c>
      <c r="L191" s="8" t="s">
        <v>23</v>
      </c>
      <c r="M191" s="5"/>
      <c r="N191" s="2"/>
      <c r="O191" s="2"/>
      <c r="P191" s="2"/>
      <c r="Q191" s="2">
        <v>2</v>
      </c>
      <c r="R191" s="2">
        <v>1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>
        <f t="shared" si="6"/>
        <v>3</v>
      </c>
    </row>
    <row r="192" spans="1:29" x14ac:dyDescent="0.2">
      <c r="A192" s="2" t="s">
        <v>359</v>
      </c>
      <c r="B192" s="2" t="s">
        <v>19</v>
      </c>
      <c r="C192" s="27">
        <v>1</v>
      </c>
      <c r="D192" s="2" t="s">
        <v>20</v>
      </c>
      <c r="E192" s="2" t="str">
        <f>VLOOKUP(D192,[1]Comunas!$A:$E,5,0)</f>
        <v>Cauca</v>
      </c>
      <c r="F192" s="7" t="str">
        <f t="shared" si="5"/>
        <v>CaucaPOPAYAN</v>
      </c>
      <c r="G192" s="2" t="str">
        <f>VLOOKUP(F192,'[2]CLUSTER_MUNICIPIOS tarifas'!$D:$E,2,0)</f>
        <v>Moderado</v>
      </c>
      <c r="H192" s="2">
        <f>VLOOKUP(F192,'[3]CLUSTER_MUNICIPIOS tarifas'!$D:$F,3,0)</f>
        <v>19001</v>
      </c>
      <c r="I192" s="2" t="s">
        <v>214</v>
      </c>
      <c r="J192" s="18">
        <v>45323</v>
      </c>
      <c r="K192" s="8" t="s">
        <v>22</v>
      </c>
      <c r="L192" s="8" t="s">
        <v>23</v>
      </c>
      <c r="M192" s="5"/>
      <c r="N192" s="2">
        <v>3</v>
      </c>
      <c r="O192" s="2">
        <v>2</v>
      </c>
      <c r="P192" s="2"/>
      <c r="Q192" s="2"/>
      <c r="R192" s="2">
        <v>4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>
        <f t="shared" si="6"/>
        <v>9</v>
      </c>
    </row>
    <row r="193" spans="1:29" x14ac:dyDescent="0.2">
      <c r="A193" s="2" t="s">
        <v>359</v>
      </c>
      <c r="B193" s="2" t="s">
        <v>19</v>
      </c>
      <c r="C193" s="27">
        <v>1</v>
      </c>
      <c r="D193" s="2" t="s">
        <v>20</v>
      </c>
      <c r="E193" s="2" t="str">
        <f>VLOOKUP(D193,[1]Comunas!$A:$E,5,0)</f>
        <v>Cauca</v>
      </c>
      <c r="F193" s="7" t="str">
        <f t="shared" si="5"/>
        <v>CaucaPOPAYAN</v>
      </c>
      <c r="G193" s="2" t="str">
        <f>VLOOKUP(F193,'[2]CLUSTER_MUNICIPIOS tarifas'!$D:$E,2,0)</f>
        <v>Moderado</v>
      </c>
      <c r="H193" s="2">
        <f>VLOOKUP(F193,'[3]CLUSTER_MUNICIPIOS tarifas'!$D:$F,3,0)</f>
        <v>19001</v>
      </c>
      <c r="I193" s="2" t="s">
        <v>215</v>
      </c>
      <c r="J193" s="18">
        <v>45323</v>
      </c>
      <c r="K193" s="8" t="s">
        <v>22</v>
      </c>
      <c r="L193" s="8" t="s">
        <v>23</v>
      </c>
      <c r="M193" s="5"/>
      <c r="N193" s="2">
        <v>1</v>
      </c>
      <c r="O193" s="2"/>
      <c r="P193" s="2"/>
      <c r="Q193" s="2">
        <v>1</v>
      </c>
      <c r="R193" s="2">
        <v>1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>
        <f t="shared" si="6"/>
        <v>3</v>
      </c>
    </row>
    <row r="194" spans="1:29" x14ac:dyDescent="0.2">
      <c r="A194" s="2" t="s">
        <v>359</v>
      </c>
      <c r="B194" s="2" t="s">
        <v>19</v>
      </c>
      <c r="C194" s="27">
        <v>1</v>
      </c>
      <c r="D194" s="2" t="s">
        <v>20</v>
      </c>
      <c r="E194" s="2" t="str">
        <f>VLOOKUP(D194,[1]Comunas!$A:$E,5,0)</f>
        <v>Cauca</v>
      </c>
      <c r="F194" s="7" t="str">
        <f t="shared" ref="F194:F257" si="7">CONCATENATE(E194,D194)</f>
        <v>CaucaPOPAYAN</v>
      </c>
      <c r="G194" s="2" t="str">
        <f>VLOOKUP(F194,'[2]CLUSTER_MUNICIPIOS tarifas'!$D:$E,2,0)</f>
        <v>Moderado</v>
      </c>
      <c r="H194" s="2">
        <f>VLOOKUP(F194,'[3]CLUSTER_MUNICIPIOS tarifas'!$D:$F,3,0)</f>
        <v>19001</v>
      </c>
      <c r="I194" s="2" t="s">
        <v>216</v>
      </c>
      <c r="J194" s="18">
        <v>45323</v>
      </c>
      <c r="K194" s="8" t="s">
        <v>22</v>
      </c>
      <c r="L194" s="8" t="s">
        <v>23</v>
      </c>
      <c r="M194" s="5"/>
      <c r="N194" s="2"/>
      <c r="O194" s="2"/>
      <c r="P194" s="2"/>
      <c r="Q194" s="2"/>
      <c r="R194" s="2">
        <v>2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>
        <f t="shared" si="6"/>
        <v>2</v>
      </c>
    </row>
    <row r="195" spans="1:29" x14ac:dyDescent="0.2">
      <c r="A195" s="2" t="s">
        <v>359</v>
      </c>
      <c r="B195" s="2" t="s">
        <v>19</v>
      </c>
      <c r="C195" s="27">
        <v>1</v>
      </c>
      <c r="D195" s="2" t="s">
        <v>20</v>
      </c>
      <c r="E195" s="2" t="str">
        <f>VLOOKUP(D195,[1]Comunas!$A:$E,5,0)</f>
        <v>Cauca</v>
      </c>
      <c r="F195" s="7" t="str">
        <f t="shared" si="7"/>
        <v>CaucaPOPAYAN</v>
      </c>
      <c r="G195" s="2" t="str">
        <f>VLOOKUP(F195,'[2]CLUSTER_MUNICIPIOS tarifas'!$D:$E,2,0)</f>
        <v>Moderado</v>
      </c>
      <c r="H195" s="2">
        <f>VLOOKUP(F195,'[3]CLUSTER_MUNICIPIOS tarifas'!$D:$F,3,0)</f>
        <v>19001</v>
      </c>
      <c r="I195" s="2" t="s">
        <v>217</v>
      </c>
      <c r="J195" s="18">
        <v>45323</v>
      </c>
      <c r="K195" s="8" t="s">
        <v>22</v>
      </c>
      <c r="L195" s="8" t="s">
        <v>23</v>
      </c>
      <c r="M195" s="5"/>
      <c r="N195" s="2">
        <v>22</v>
      </c>
      <c r="O195" s="2"/>
      <c r="P195" s="2"/>
      <c r="Q195" s="2">
        <v>5</v>
      </c>
      <c r="R195" s="2">
        <v>1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>
        <f t="shared" ref="AC195:AC258" si="8">SUM(N195:Z195)</f>
        <v>28</v>
      </c>
    </row>
    <row r="196" spans="1:29" x14ac:dyDescent="0.2">
      <c r="A196" s="2" t="s">
        <v>359</v>
      </c>
      <c r="B196" s="2" t="s">
        <v>19</v>
      </c>
      <c r="C196" s="27">
        <v>1</v>
      </c>
      <c r="D196" s="2" t="s">
        <v>20</v>
      </c>
      <c r="E196" s="2" t="str">
        <f>VLOOKUP(D196,[1]Comunas!$A:$E,5,0)</f>
        <v>Cauca</v>
      </c>
      <c r="F196" s="7" t="str">
        <f t="shared" si="7"/>
        <v>CaucaPOPAYAN</v>
      </c>
      <c r="G196" s="2" t="str">
        <f>VLOOKUP(F196,'[2]CLUSTER_MUNICIPIOS tarifas'!$D:$E,2,0)</f>
        <v>Moderado</v>
      </c>
      <c r="H196" s="2">
        <f>VLOOKUP(F196,'[3]CLUSTER_MUNICIPIOS tarifas'!$D:$F,3,0)</f>
        <v>19001</v>
      </c>
      <c r="I196" s="2" t="s">
        <v>218</v>
      </c>
      <c r="J196" s="18">
        <v>45323</v>
      </c>
      <c r="K196" s="8" t="s">
        <v>22</v>
      </c>
      <c r="L196" s="8" t="s">
        <v>23</v>
      </c>
      <c r="M196" s="5"/>
      <c r="N196" s="2"/>
      <c r="O196" s="2"/>
      <c r="P196" s="2"/>
      <c r="Q196" s="2"/>
      <c r="R196" s="2"/>
      <c r="S196" s="2"/>
      <c r="T196" s="2">
        <v>2</v>
      </c>
      <c r="U196" s="2"/>
      <c r="V196" s="2"/>
      <c r="W196" s="2"/>
      <c r="X196" s="2"/>
      <c r="Y196" s="2"/>
      <c r="Z196" s="2"/>
      <c r="AA196" s="2"/>
      <c r="AB196" s="2"/>
      <c r="AC196" s="2">
        <f t="shared" si="8"/>
        <v>2</v>
      </c>
    </row>
    <row r="197" spans="1:29" x14ac:dyDescent="0.2">
      <c r="A197" s="2" t="s">
        <v>359</v>
      </c>
      <c r="B197" s="2" t="s">
        <v>19</v>
      </c>
      <c r="C197" s="27">
        <v>1</v>
      </c>
      <c r="D197" s="2" t="s">
        <v>108</v>
      </c>
      <c r="E197" s="2" t="str">
        <f>VLOOKUP(D197,[1]Comunas!$A:$E,5,0)</f>
        <v>Cauca</v>
      </c>
      <c r="F197" s="7" t="str">
        <f t="shared" si="7"/>
        <v>CaucaSANTANDER DE QUILICHAO</v>
      </c>
      <c r="G197" s="2" t="str">
        <f>VLOOKUP(F197,'[2]CLUSTER_MUNICIPIOS tarifas'!$D:$E,2,0)</f>
        <v>Moderado</v>
      </c>
      <c r="H197" s="2">
        <f>VLOOKUP(F197,'[3]CLUSTER_MUNICIPIOS tarifas'!$D:$F,3,0)</f>
        <v>19698</v>
      </c>
      <c r="I197" s="2" t="s">
        <v>219</v>
      </c>
      <c r="J197" s="18">
        <v>45323</v>
      </c>
      <c r="K197" s="8" t="s">
        <v>22</v>
      </c>
      <c r="L197" s="8" t="s">
        <v>23</v>
      </c>
      <c r="M197" s="5"/>
      <c r="N197" s="2">
        <v>9</v>
      </c>
      <c r="O197" s="2">
        <v>33</v>
      </c>
      <c r="P197" s="2"/>
      <c r="Q197" s="2">
        <v>12</v>
      </c>
      <c r="R197" s="2">
        <v>9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>
        <f t="shared" si="8"/>
        <v>63</v>
      </c>
    </row>
    <row r="198" spans="1:29" x14ac:dyDescent="0.2">
      <c r="A198" s="2" t="s">
        <v>359</v>
      </c>
      <c r="B198" s="2" t="s">
        <v>19</v>
      </c>
      <c r="C198" s="27">
        <v>1</v>
      </c>
      <c r="D198" s="2" t="s">
        <v>108</v>
      </c>
      <c r="E198" s="2" t="str">
        <f>VLOOKUP(D198,[1]Comunas!$A:$E,5,0)</f>
        <v>Cauca</v>
      </c>
      <c r="F198" s="7" t="str">
        <f t="shared" si="7"/>
        <v>CaucaSANTANDER DE QUILICHAO</v>
      </c>
      <c r="G198" s="2" t="str">
        <f>VLOOKUP(F198,'[2]CLUSTER_MUNICIPIOS tarifas'!$D:$E,2,0)</f>
        <v>Moderado</v>
      </c>
      <c r="H198" s="2">
        <f>VLOOKUP(F198,'[3]CLUSTER_MUNICIPIOS tarifas'!$D:$F,3,0)</f>
        <v>19698</v>
      </c>
      <c r="I198" s="2" t="s">
        <v>220</v>
      </c>
      <c r="J198" s="18">
        <v>45323</v>
      </c>
      <c r="K198" s="8" t="s">
        <v>22</v>
      </c>
      <c r="L198" s="8" t="s">
        <v>23</v>
      </c>
      <c r="M198" s="5"/>
      <c r="N198" s="2">
        <v>6</v>
      </c>
      <c r="O198" s="2"/>
      <c r="P198" s="2"/>
      <c r="Q198" s="2">
        <v>2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>
        <f t="shared" si="8"/>
        <v>8</v>
      </c>
    </row>
    <row r="199" spans="1:29" x14ac:dyDescent="0.2">
      <c r="A199" s="2" t="s">
        <v>359</v>
      </c>
      <c r="B199" s="2" t="s">
        <v>19</v>
      </c>
      <c r="C199" s="27">
        <v>1</v>
      </c>
      <c r="D199" s="2" t="s">
        <v>108</v>
      </c>
      <c r="E199" s="2" t="str">
        <f>VLOOKUP(D199,[1]Comunas!$A:$E,5,0)</f>
        <v>Cauca</v>
      </c>
      <c r="F199" s="7" t="str">
        <f t="shared" si="7"/>
        <v>CaucaSANTANDER DE QUILICHAO</v>
      </c>
      <c r="G199" s="2" t="str">
        <f>VLOOKUP(F199,'[2]CLUSTER_MUNICIPIOS tarifas'!$D:$E,2,0)</f>
        <v>Moderado</v>
      </c>
      <c r="H199" s="2">
        <f>VLOOKUP(F199,'[3]CLUSTER_MUNICIPIOS tarifas'!$D:$F,3,0)</f>
        <v>19698</v>
      </c>
      <c r="I199" s="2" t="s">
        <v>221</v>
      </c>
      <c r="J199" s="18">
        <v>45323</v>
      </c>
      <c r="K199" s="8" t="s">
        <v>22</v>
      </c>
      <c r="L199" s="8" t="s">
        <v>23</v>
      </c>
      <c r="M199" s="5"/>
      <c r="N199" s="2">
        <v>21</v>
      </c>
      <c r="O199" s="2">
        <v>1</v>
      </c>
      <c r="P199" s="2"/>
      <c r="Q199" s="2">
        <v>1</v>
      </c>
      <c r="R199" s="2">
        <v>2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>
        <f t="shared" si="8"/>
        <v>25</v>
      </c>
    </row>
    <row r="200" spans="1:29" x14ac:dyDescent="0.2">
      <c r="A200" s="2" t="s">
        <v>359</v>
      </c>
      <c r="B200" s="2" t="s">
        <v>19</v>
      </c>
      <c r="C200" s="27">
        <v>1</v>
      </c>
      <c r="D200" s="2" t="s">
        <v>20</v>
      </c>
      <c r="E200" s="2" t="str">
        <f>VLOOKUP(D200,[1]Comunas!$A:$E,5,0)</f>
        <v>Cauca</v>
      </c>
      <c r="F200" s="7" t="str">
        <f t="shared" si="7"/>
        <v>CaucaPOPAYAN</v>
      </c>
      <c r="G200" s="2" t="str">
        <f>VLOOKUP(F200,'[2]CLUSTER_MUNICIPIOS tarifas'!$D:$E,2,0)</f>
        <v>Moderado</v>
      </c>
      <c r="H200" s="2">
        <f>VLOOKUP(F200,'[3]CLUSTER_MUNICIPIOS tarifas'!$D:$F,3,0)</f>
        <v>19001</v>
      </c>
      <c r="I200" s="2" t="s">
        <v>222</v>
      </c>
      <c r="J200" s="18">
        <v>45323</v>
      </c>
      <c r="K200" s="8" t="s">
        <v>22</v>
      </c>
      <c r="L200" s="8" t="s">
        <v>23</v>
      </c>
      <c r="M200" s="5"/>
      <c r="N200" s="2">
        <v>2</v>
      </c>
      <c r="O200" s="2"/>
      <c r="P200" s="2"/>
      <c r="Q200" s="2"/>
      <c r="R200" s="2">
        <v>1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>
        <f t="shared" si="8"/>
        <v>3</v>
      </c>
    </row>
    <row r="201" spans="1:29" x14ac:dyDescent="0.2">
      <c r="A201" s="2" t="s">
        <v>359</v>
      </c>
      <c r="B201" s="2" t="s">
        <v>19</v>
      </c>
      <c r="C201" s="27">
        <v>1</v>
      </c>
      <c r="D201" s="2" t="s">
        <v>20</v>
      </c>
      <c r="E201" s="2" t="str">
        <f>VLOOKUP(D201,[1]Comunas!$A:$E,5,0)</f>
        <v>Cauca</v>
      </c>
      <c r="F201" s="7" t="str">
        <f t="shared" si="7"/>
        <v>CaucaPOPAYAN</v>
      </c>
      <c r="G201" s="2" t="str">
        <f>VLOOKUP(F201,'[2]CLUSTER_MUNICIPIOS tarifas'!$D:$E,2,0)</f>
        <v>Moderado</v>
      </c>
      <c r="H201" s="2">
        <f>VLOOKUP(F201,'[3]CLUSTER_MUNICIPIOS tarifas'!$D:$F,3,0)</f>
        <v>19001</v>
      </c>
      <c r="I201" s="2" t="s">
        <v>223</v>
      </c>
      <c r="J201" s="18">
        <v>45323</v>
      </c>
      <c r="K201" s="8" t="s">
        <v>22</v>
      </c>
      <c r="L201" s="8" t="s">
        <v>23</v>
      </c>
      <c r="M201" s="5"/>
      <c r="N201" s="2"/>
      <c r="O201" s="2"/>
      <c r="P201" s="2"/>
      <c r="Q201" s="2">
        <v>1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>
        <f t="shared" si="8"/>
        <v>1</v>
      </c>
    </row>
    <row r="202" spans="1:29" x14ac:dyDescent="0.2">
      <c r="A202" s="2" t="s">
        <v>359</v>
      </c>
      <c r="B202" s="2" t="s">
        <v>19</v>
      </c>
      <c r="C202" s="27">
        <v>1</v>
      </c>
      <c r="D202" s="2" t="s">
        <v>20</v>
      </c>
      <c r="E202" s="2" t="str">
        <f>VLOOKUP(D202,[1]Comunas!$A:$E,5,0)</f>
        <v>Cauca</v>
      </c>
      <c r="F202" s="7" t="str">
        <f t="shared" si="7"/>
        <v>CaucaPOPAYAN</v>
      </c>
      <c r="G202" s="2" t="str">
        <f>VLOOKUP(F202,'[2]CLUSTER_MUNICIPIOS tarifas'!$D:$E,2,0)</f>
        <v>Moderado</v>
      </c>
      <c r="H202" s="2">
        <f>VLOOKUP(F202,'[3]CLUSTER_MUNICIPIOS tarifas'!$D:$F,3,0)</f>
        <v>19001</v>
      </c>
      <c r="I202" s="2" t="s">
        <v>224</v>
      </c>
      <c r="J202" s="18">
        <v>45323</v>
      </c>
      <c r="K202" s="8" t="s">
        <v>22</v>
      </c>
      <c r="L202" s="8" t="s">
        <v>23</v>
      </c>
      <c r="M202" s="5"/>
      <c r="N202" s="2">
        <v>28</v>
      </c>
      <c r="O202" s="2">
        <v>2</v>
      </c>
      <c r="P202" s="2">
        <v>1</v>
      </c>
      <c r="Q202" s="2">
        <v>2</v>
      </c>
      <c r="R202" s="2">
        <v>10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>
        <f t="shared" si="8"/>
        <v>43</v>
      </c>
    </row>
    <row r="203" spans="1:29" x14ac:dyDescent="0.2">
      <c r="A203" s="2" t="s">
        <v>359</v>
      </c>
      <c r="B203" s="2" t="s">
        <v>19</v>
      </c>
      <c r="C203" s="27">
        <v>1</v>
      </c>
      <c r="D203" s="2" t="s">
        <v>20</v>
      </c>
      <c r="E203" s="2" t="str">
        <f>VLOOKUP(D203,[1]Comunas!$A:$E,5,0)</f>
        <v>Cauca</v>
      </c>
      <c r="F203" s="7" t="str">
        <f t="shared" si="7"/>
        <v>CaucaPOPAYAN</v>
      </c>
      <c r="G203" s="2" t="str">
        <f>VLOOKUP(F203,'[2]CLUSTER_MUNICIPIOS tarifas'!$D:$E,2,0)</f>
        <v>Moderado</v>
      </c>
      <c r="H203" s="2">
        <f>VLOOKUP(F203,'[3]CLUSTER_MUNICIPIOS tarifas'!$D:$F,3,0)</f>
        <v>19001</v>
      </c>
      <c r="I203" s="2" t="s">
        <v>225</v>
      </c>
      <c r="J203" s="18">
        <v>45323</v>
      </c>
      <c r="K203" s="8" t="s">
        <v>22</v>
      </c>
      <c r="L203" s="8" t="s">
        <v>23</v>
      </c>
      <c r="M203" s="5"/>
      <c r="N203" s="2">
        <v>19</v>
      </c>
      <c r="O203" s="2"/>
      <c r="P203" s="2"/>
      <c r="Q203" s="2">
        <v>1</v>
      </c>
      <c r="R203" s="2">
        <v>1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>
        <f t="shared" si="8"/>
        <v>21</v>
      </c>
    </row>
    <row r="204" spans="1:29" x14ac:dyDescent="0.2">
      <c r="A204" s="2" t="s">
        <v>359</v>
      </c>
      <c r="B204" s="2" t="s">
        <v>19</v>
      </c>
      <c r="C204" s="27">
        <v>1</v>
      </c>
      <c r="D204" s="2" t="s">
        <v>20</v>
      </c>
      <c r="E204" s="2" t="str">
        <f>VLOOKUP(D204,[1]Comunas!$A:$E,5,0)</f>
        <v>Cauca</v>
      </c>
      <c r="F204" s="7" t="str">
        <f t="shared" si="7"/>
        <v>CaucaPOPAYAN</v>
      </c>
      <c r="G204" s="2" t="str">
        <f>VLOOKUP(F204,'[2]CLUSTER_MUNICIPIOS tarifas'!$D:$E,2,0)</f>
        <v>Moderado</v>
      </c>
      <c r="H204" s="2">
        <f>VLOOKUP(F204,'[3]CLUSTER_MUNICIPIOS tarifas'!$D:$F,3,0)</f>
        <v>19001</v>
      </c>
      <c r="I204" s="2" t="s">
        <v>226</v>
      </c>
      <c r="J204" s="18">
        <v>45323</v>
      </c>
      <c r="K204" s="8" t="s">
        <v>22</v>
      </c>
      <c r="L204" s="8" t="s">
        <v>23</v>
      </c>
      <c r="M204" s="5"/>
      <c r="N204" s="2">
        <v>20</v>
      </c>
      <c r="O204" s="2">
        <v>7</v>
      </c>
      <c r="P204" s="2"/>
      <c r="Q204" s="2">
        <v>8</v>
      </c>
      <c r="R204" s="2">
        <v>12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>
        <f t="shared" si="8"/>
        <v>47</v>
      </c>
    </row>
    <row r="205" spans="1:29" x14ac:dyDescent="0.2">
      <c r="A205" s="2" t="s">
        <v>359</v>
      </c>
      <c r="B205" s="2" t="s">
        <v>19</v>
      </c>
      <c r="C205" s="27">
        <v>1</v>
      </c>
      <c r="D205" s="2" t="s">
        <v>20</v>
      </c>
      <c r="E205" s="2" t="str">
        <f>VLOOKUP(D205,[1]Comunas!$A:$E,5,0)</f>
        <v>Cauca</v>
      </c>
      <c r="F205" s="7" t="str">
        <f t="shared" si="7"/>
        <v>CaucaPOPAYAN</v>
      </c>
      <c r="G205" s="2" t="str">
        <f>VLOOKUP(F205,'[2]CLUSTER_MUNICIPIOS tarifas'!$D:$E,2,0)</f>
        <v>Moderado</v>
      </c>
      <c r="H205" s="2">
        <f>VLOOKUP(F205,'[3]CLUSTER_MUNICIPIOS tarifas'!$D:$F,3,0)</f>
        <v>19001</v>
      </c>
      <c r="I205" s="2" t="s">
        <v>227</v>
      </c>
      <c r="J205" s="18">
        <v>45323</v>
      </c>
      <c r="K205" s="8" t="s">
        <v>22</v>
      </c>
      <c r="L205" s="8" t="s">
        <v>23</v>
      </c>
      <c r="M205" s="5"/>
      <c r="N205" s="2">
        <v>30</v>
      </c>
      <c r="O205" s="2">
        <v>3</v>
      </c>
      <c r="P205" s="2">
        <v>1</v>
      </c>
      <c r="Q205" s="2">
        <v>10</v>
      </c>
      <c r="R205" s="2">
        <v>5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>
        <f t="shared" si="8"/>
        <v>49</v>
      </c>
    </row>
    <row r="206" spans="1:29" x14ac:dyDescent="0.2">
      <c r="A206" s="2" t="s">
        <v>359</v>
      </c>
      <c r="B206" s="2" t="s">
        <v>19</v>
      </c>
      <c r="C206" s="27">
        <v>1</v>
      </c>
      <c r="D206" s="2" t="s">
        <v>20</v>
      </c>
      <c r="E206" s="2" t="str">
        <f>VLOOKUP(D206,[1]Comunas!$A:$E,5,0)</f>
        <v>Cauca</v>
      </c>
      <c r="F206" s="7" t="str">
        <f t="shared" si="7"/>
        <v>CaucaPOPAYAN</v>
      </c>
      <c r="G206" s="2" t="str">
        <f>VLOOKUP(F206,'[2]CLUSTER_MUNICIPIOS tarifas'!$D:$E,2,0)</f>
        <v>Moderado</v>
      </c>
      <c r="H206" s="2">
        <f>VLOOKUP(F206,'[3]CLUSTER_MUNICIPIOS tarifas'!$D:$F,3,0)</f>
        <v>19001</v>
      </c>
      <c r="I206" s="2" t="s">
        <v>228</v>
      </c>
      <c r="J206" s="18">
        <v>45323</v>
      </c>
      <c r="K206" s="8" t="s">
        <v>22</v>
      </c>
      <c r="L206" s="8" t="s">
        <v>23</v>
      </c>
      <c r="M206" s="5"/>
      <c r="N206" s="2">
        <v>20</v>
      </c>
      <c r="O206" s="2">
        <v>1</v>
      </c>
      <c r="P206" s="2"/>
      <c r="Q206" s="2">
        <v>10</v>
      </c>
      <c r="R206" s="2">
        <v>2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>
        <f t="shared" si="8"/>
        <v>33</v>
      </c>
    </row>
    <row r="207" spans="1:29" x14ac:dyDescent="0.2">
      <c r="A207" s="2" t="s">
        <v>359</v>
      </c>
      <c r="B207" s="2" t="s">
        <v>19</v>
      </c>
      <c r="C207" s="27">
        <v>1</v>
      </c>
      <c r="D207" s="2" t="s">
        <v>20</v>
      </c>
      <c r="E207" s="2" t="str">
        <f>VLOOKUP(D207,[1]Comunas!$A:$E,5,0)</f>
        <v>Cauca</v>
      </c>
      <c r="F207" s="7" t="str">
        <f t="shared" si="7"/>
        <v>CaucaPOPAYAN</v>
      </c>
      <c r="G207" s="2" t="str">
        <f>VLOOKUP(F207,'[2]CLUSTER_MUNICIPIOS tarifas'!$D:$E,2,0)</f>
        <v>Moderado</v>
      </c>
      <c r="H207" s="2">
        <f>VLOOKUP(F207,'[3]CLUSTER_MUNICIPIOS tarifas'!$D:$F,3,0)</f>
        <v>19001</v>
      </c>
      <c r="I207" s="2" t="s">
        <v>229</v>
      </c>
      <c r="J207" s="18">
        <v>45323</v>
      </c>
      <c r="K207" s="8" t="s">
        <v>22</v>
      </c>
      <c r="L207" s="8" t="s">
        <v>23</v>
      </c>
      <c r="M207" s="5"/>
      <c r="N207" s="2"/>
      <c r="O207" s="2"/>
      <c r="P207" s="2"/>
      <c r="Q207" s="2"/>
      <c r="R207" s="2">
        <v>1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>
        <f t="shared" si="8"/>
        <v>1</v>
      </c>
    </row>
    <row r="208" spans="1:29" x14ac:dyDescent="0.2">
      <c r="A208" s="2" t="s">
        <v>359</v>
      </c>
      <c r="B208" s="2" t="s">
        <v>19</v>
      </c>
      <c r="C208" s="27">
        <v>1</v>
      </c>
      <c r="D208" s="2" t="s">
        <v>20</v>
      </c>
      <c r="E208" s="2" t="str">
        <f>VLOOKUP(D208,[1]Comunas!$A:$E,5,0)</f>
        <v>Cauca</v>
      </c>
      <c r="F208" s="7" t="str">
        <f t="shared" si="7"/>
        <v>CaucaPOPAYAN</v>
      </c>
      <c r="G208" s="2" t="str">
        <f>VLOOKUP(F208,'[2]CLUSTER_MUNICIPIOS tarifas'!$D:$E,2,0)</f>
        <v>Moderado</v>
      </c>
      <c r="H208" s="2">
        <f>VLOOKUP(F208,'[3]CLUSTER_MUNICIPIOS tarifas'!$D:$F,3,0)</f>
        <v>19001</v>
      </c>
      <c r="I208" s="2" t="s">
        <v>230</v>
      </c>
      <c r="J208" s="18">
        <v>45323</v>
      </c>
      <c r="K208" s="8" t="s">
        <v>22</v>
      </c>
      <c r="L208" s="8" t="s">
        <v>23</v>
      </c>
      <c r="M208" s="5"/>
      <c r="N208" s="2">
        <v>1</v>
      </c>
      <c r="O208" s="2"/>
      <c r="P208" s="2"/>
      <c r="Q208" s="2">
        <v>1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>
        <f t="shared" si="8"/>
        <v>2</v>
      </c>
    </row>
    <row r="209" spans="1:29" x14ac:dyDescent="0.2">
      <c r="A209" s="2" t="s">
        <v>359</v>
      </c>
      <c r="B209" s="2" t="s">
        <v>19</v>
      </c>
      <c r="C209" s="27">
        <v>1</v>
      </c>
      <c r="D209" s="2" t="s">
        <v>20</v>
      </c>
      <c r="E209" s="2" t="str">
        <f>VLOOKUP(D209,[1]Comunas!$A:$E,5,0)</f>
        <v>Cauca</v>
      </c>
      <c r="F209" s="7" t="str">
        <f t="shared" si="7"/>
        <v>CaucaPOPAYAN</v>
      </c>
      <c r="G209" s="2" t="str">
        <f>VLOOKUP(F209,'[2]CLUSTER_MUNICIPIOS tarifas'!$D:$E,2,0)</f>
        <v>Moderado</v>
      </c>
      <c r="H209" s="2">
        <f>VLOOKUP(F209,'[3]CLUSTER_MUNICIPIOS tarifas'!$D:$F,3,0)</f>
        <v>19001</v>
      </c>
      <c r="I209" s="2" t="s">
        <v>231</v>
      </c>
      <c r="J209" s="18">
        <v>45323</v>
      </c>
      <c r="K209" s="8" t="s">
        <v>22</v>
      </c>
      <c r="L209" s="8" t="s">
        <v>23</v>
      </c>
      <c r="M209" s="5"/>
      <c r="N209" s="2"/>
      <c r="O209" s="2"/>
      <c r="P209" s="2"/>
      <c r="Q209" s="2"/>
      <c r="R209" s="2">
        <v>2</v>
      </c>
      <c r="S209" s="2"/>
      <c r="T209" s="2">
        <v>4</v>
      </c>
      <c r="U209" s="2"/>
      <c r="V209" s="2"/>
      <c r="W209" s="2"/>
      <c r="X209" s="2"/>
      <c r="Y209" s="2"/>
      <c r="Z209" s="2"/>
      <c r="AA209" s="2"/>
      <c r="AB209" s="2"/>
      <c r="AC209" s="2">
        <f t="shared" si="8"/>
        <v>6</v>
      </c>
    </row>
    <row r="210" spans="1:29" x14ac:dyDescent="0.2">
      <c r="A210" s="2" t="s">
        <v>359</v>
      </c>
      <c r="B210" s="2" t="s">
        <v>19</v>
      </c>
      <c r="C210" s="27">
        <v>1</v>
      </c>
      <c r="D210" s="2" t="s">
        <v>20</v>
      </c>
      <c r="E210" s="2" t="str">
        <f>VLOOKUP(D210,[1]Comunas!$A:$E,5,0)</f>
        <v>Cauca</v>
      </c>
      <c r="F210" s="7" t="str">
        <f t="shared" si="7"/>
        <v>CaucaPOPAYAN</v>
      </c>
      <c r="G210" s="2" t="str">
        <f>VLOOKUP(F210,'[2]CLUSTER_MUNICIPIOS tarifas'!$D:$E,2,0)</f>
        <v>Moderado</v>
      </c>
      <c r="H210" s="2">
        <f>VLOOKUP(F210,'[3]CLUSTER_MUNICIPIOS tarifas'!$D:$F,3,0)</f>
        <v>19001</v>
      </c>
      <c r="I210" s="2" t="s">
        <v>232</v>
      </c>
      <c r="J210" s="18">
        <v>45323</v>
      </c>
      <c r="K210" s="8" t="s">
        <v>22</v>
      </c>
      <c r="L210" s="8" t="s">
        <v>23</v>
      </c>
      <c r="M210" s="5"/>
      <c r="N210" s="2"/>
      <c r="O210" s="2"/>
      <c r="P210" s="2"/>
      <c r="Q210" s="2">
        <v>2</v>
      </c>
      <c r="R210" s="2">
        <v>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>
        <f t="shared" si="8"/>
        <v>3</v>
      </c>
    </row>
    <row r="211" spans="1:29" x14ac:dyDescent="0.2">
      <c r="A211" s="2" t="s">
        <v>359</v>
      </c>
      <c r="B211" s="2" t="s">
        <v>19</v>
      </c>
      <c r="C211" s="27">
        <v>1</v>
      </c>
      <c r="D211" s="2" t="s">
        <v>20</v>
      </c>
      <c r="E211" s="2" t="str">
        <f>VLOOKUP(D211,[1]Comunas!$A:$E,5,0)</f>
        <v>Cauca</v>
      </c>
      <c r="F211" s="7" t="str">
        <f t="shared" si="7"/>
        <v>CaucaPOPAYAN</v>
      </c>
      <c r="G211" s="2" t="str">
        <f>VLOOKUP(F211,'[2]CLUSTER_MUNICIPIOS tarifas'!$D:$E,2,0)</f>
        <v>Moderado</v>
      </c>
      <c r="H211" s="2">
        <f>VLOOKUP(F211,'[3]CLUSTER_MUNICIPIOS tarifas'!$D:$F,3,0)</f>
        <v>19001</v>
      </c>
      <c r="I211" s="2" t="s">
        <v>233</v>
      </c>
      <c r="J211" s="18">
        <v>45323</v>
      </c>
      <c r="K211" s="8" t="s">
        <v>22</v>
      </c>
      <c r="L211" s="8" t="s">
        <v>23</v>
      </c>
      <c r="M211" s="5"/>
      <c r="N211" s="2"/>
      <c r="O211" s="2">
        <v>2</v>
      </c>
      <c r="P211" s="2"/>
      <c r="Q211" s="2"/>
      <c r="R211" s="2">
        <v>1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>
        <f t="shared" si="8"/>
        <v>3</v>
      </c>
    </row>
    <row r="212" spans="1:29" x14ac:dyDescent="0.2">
      <c r="A212" s="2" t="s">
        <v>359</v>
      </c>
      <c r="B212" s="2" t="s">
        <v>19</v>
      </c>
      <c r="C212" s="27">
        <v>1</v>
      </c>
      <c r="D212" s="2" t="s">
        <v>20</v>
      </c>
      <c r="E212" s="2" t="str">
        <f>VLOOKUP(D212,[1]Comunas!$A:$E,5,0)</f>
        <v>Cauca</v>
      </c>
      <c r="F212" s="7" t="str">
        <f t="shared" si="7"/>
        <v>CaucaPOPAYAN</v>
      </c>
      <c r="G212" s="2" t="str">
        <f>VLOOKUP(F212,'[2]CLUSTER_MUNICIPIOS tarifas'!$D:$E,2,0)</f>
        <v>Moderado</v>
      </c>
      <c r="H212" s="2">
        <f>VLOOKUP(F212,'[3]CLUSTER_MUNICIPIOS tarifas'!$D:$F,3,0)</f>
        <v>19001</v>
      </c>
      <c r="I212" s="2" t="s">
        <v>234</v>
      </c>
      <c r="J212" s="18">
        <v>45323</v>
      </c>
      <c r="K212" s="8" t="s">
        <v>22</v>
      </c>
      <c r="L212" s="8" t="s">
        <v>23</v>
      </c>
      <c r="M212" s="5"/>
      <c r="N212" s="2"/>
      <c r="O212" s="2"/>
      <c r="P212" s="2"/>
      <c r="Q212" s="2"/>
      <c r="R212" s="2"/>
      <c r="S212" s="2"/>
      <c r="T212" s="2"/>
      <c r="U212" s="2">
        <v>2</v>
      </c>
      <c r="V212" s="2"/>
      <c r="W212" s="2"/>
      <c r="X212" s="2"/>
      <c r="Y212" s="2"/>
      <c r="Z212" s="2"/>
      <c r="AA212" s="2"/>
      <c r="AB212" s="2"/>
      <c r="AC212" s="2">
        <f t="shared" si="8"/>
        <v>2</v>
      </c>
    </row>
    <row r="213" spans="1:29" x14ac:dyDescent="0.2">
      <c r="A213" s="2" t="s">
        <v>359</v>
      </c>
      <c r="B213" s="2" t="s">
        <v>19</v>
      </c>
      <c r="C213" s="27">
        <v>1</v>
      </c>
      <c r="D213" s="2" t="s">
        <v>20</v>
      </c>
      <c r="E213" s="2" t="str">
        <f>VLOOKUP(D213,[1]Comunas!$A:$E,5,0)</f>
        <v>Cauca</v>
      </c>
      <c r="F213" s="7" t="str">
        <f t="shared" si="7"/>
        <v>CaucaPOPAYAN</v>
      </c>
      <c r="G213" s="2" t="str">
        <f>VLOOKUP(F213,'[2]CLUSTER_MUNICIPIOS tarifas'!$D:$E,2,0)</f>
        <v>Moderado</v>
      </c>
      <c r="H213" s="2">
        <f>VLOOKUP(F213,'[3]CLUSTER_MUNICIPIOS tarifas'!$D:$F,3,0)</f>
        <v>19001</v>
      </c>
      <c r="I213" s="2" t="s">
        <v>235</v>
      </c>
      <c r="J213" s="18">
        <v>45323</v>
      </c>
      <c r="K213" s="8" t="s">
        <v>22</v>
      </c>
      <c r="L213" s="8" t="s">
        <v>23</v>
      </c>
      <c r="M213" s="5"/>
      <c r="N213" s="2">
        <v>4</v>
      </c>
      <c r="O213" s="2"/>
      <c r="P213" s="2"/>
      <c r="Q213" s="2"/>
      <c r="R213" s="2">
        <v>16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>
        <f t="shared" si="8"/>
        <v>20</v>
      </c>
    </row>
    <row r="214" spans="1:29" x14ac:dyDescent="0.2">
      <c r="A214" s="2" t="s">
        <v>359</v>
      </c>
      <c r="B214" s="2" t="s">
        <v>19</v>
      </c>
      <c r="C214" s="27">
        <v>1</v>
      </c>
      <c r="D214" s="2" t="s">
        <v>20</v>
      </c>
      <c r="E214" s="2" t="str">
        <f>VLOOKUP(D214,[1]Comunas!$A:$E,5,0)</f>
        <v>Cauca</v>
      </c>
      <c r="F214" s="7" t="str">
        <f t="shared" si="7"/>
        <v>CaucaPOPAYAN</v>
      </c>
      <c r="G214" s="2" t="str">
        <f>VLOOKUP(F214,'[2]CLUSTER_MUNICIPIOS tarifas'!$D:$E,2,0)</f>
        <v>Moderado</v>
      </c>
      <c r="H214" s="2">
        <f>VLOOKUP(F214,'[3]CLUSTER_MUNICIPIOS tarifas'!$D:$F,3,0)</f>
        <v>19001</v>
      </c>
      <c r="I214" s="2" t="s">
        <v>236</v>
      </c>
      <c r="J214" s="18">
        <v>45323</v>
      </c>
      <c r="K214" s="8" t="s">
        <v>22</v>
      </c>
      <c r="L214" s="8" t="s">
        <v>23</v>
      </c>
      <c r="M214" s="5"/>
      <c r="N214" s="2">
        <v>12</v>
      </c>
      <c r="O214" s="2"/>
      <c r="P214" s="2"/>
      <c r="Q214" s="2"/>
      <c r="R214" s="2">
        <v>6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>
        <f t="shared" si="8"/>
        <v>18</v>
      </c>
    </row>
    <row r="215" spans="1:29" x14ac:dyDescent="0.2">
      <c r="A215" s="2" t="s">
        <v>359</v>
      </c>
      <c r="B215" s="2" t="s">
        <v>19</v>
      </c>
      <c r="C215" s="27">
        <v>1</v>
      </c>
      <c r="D215" s="2" t="s">
        <v>20</v>
      </c>
      <c r="E215" s="2" t="str">
        <f>VLOOKUP(D215,[1]Comunas!$A:$E,5,0)</f>
        <v>Cauca</v>
      </c>
      <c r="F215" s="7" t="str">
        <f t="shared" si="7"/>
        <v>CaucaPOPAYAN</v>
      </c>
      <c r="G215" s="2" t="str">
        <f>VLOOKUP(F215,'[2]CLUSTER_MUNICIPIOS tarifas'!$D:$E,2,0)</f>
        <v>Moderado</v>
      </c>
      <c r="H215" s="2">
        <f>VLOOKUP(F215,'[3]CLUSTER_MUNICIPIOS tarifas'!$D:$F,3,0)</f>
        <v>19001</v>
      </c>
      <c r="I215" s="2" t="s">
        <v>237</v>
      </c>
      <c r="J215" s="18">
        <v>45323</v>
      </c>
      <c r="K215" s="8" t="s">
        <v>22</v>
      </c>
      <c r="L215" s="8" t="s">
        <v>23</v>
      </c>
      <c r="M215" s="5"/>
      <c r="N215" s="2">
        <v>3</v>
      </c>
      <c r="O215" s="2"/>
      <c r="P215" s="2"/>
      <c r="Q215" s="2"/>
      <c r="R215" s="2">
        <v>2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>
        <f t="shared" si="8"/>
        <v>5</v>
      </c>
    </row>
    <row r="216" spans="1:29" x14ac:dyDescent="0.2">
      <c r="A216" s="2" t="s">
        <v>359</v>
      </c>
      <c r="B216" s="2" t="s">
        <v>19</v>
      </c>
      <c r="C216" s="27">
        <v>1</v>
      </c>
      <c r="D216" s="2" t="s">
        <v>20</v>
      </c>
      <c r="E216" s="2" t="str">
        <f>VLOOKUP(D216,[1]Comunas!$A:$E,5,0)</f>
        <v>Cauca</v>
      </c>
      <c r="F216" s="7" t="str">
        <f t="shared" si="7"/>
        <v>CaucaPOPAYAN</v>
      </c>
      <c r="G216" s="2" t="str">
        <f>VLOOKUP(F216,'[2]CLUSTER_MUNICIPIOS tarifas'!$D:$E,2,0)</f>
        <v>Moderado</v>
      </c>
      <c r="H216" s="2">
        <f>VLOOKUP(F216,'[3]CLUSTER_MUNICIPIOS tarifas'!$D:$F,3,0)</f>
        <v>19001</v>
      </c>
      <c r="I216" s="2" t="s">
        <v>238</v>
      </c>
      <c r="J216" s="18">
        <v>45323</v>
      </c>
      <c r="K216" s="8" t="s">
        <v>22</v>
      </c>
      <c r="L216" s="8" t="s">
        <v>23</v>
      </c>
      <c r="M216" s="5"/>
      <c r="N216" s="2"/>
      <c r="O216" s="2"/>
      <c r="P216" s="2"/>
      <c r="Q216" s="2">
        <v>1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>
        <f t="shared" si="8"/>
        <v>1</v>
      </c>
    </row>
    <row r="217" spans="1:29" x14ac:dyDescent="0.2">
      <c r="A217" s="2" t="s">
        <v>359</v>
      </c>
      <c r="B217" s="2" t="s">
        <v>19</v>
      </c>
      <c r="C217" s="27">
        <v>1</v>
      </c>
      <c r="D217" s="2" t="s">
        <v>20</v>
      </c>
      <c r="E217" s="2" t="str">
        <f>VLOOKUP(D217,[1]Comunas!$A:$E,5,0)</f>
        <v>Cauca</v>
      </c>
      <c r="F217" s="7" t="str">
        <f t="shared" si="7"/>
        <v>CaucaPOPAYAN</v>
      </c>
      <c r="G217" s="2" t="str">
        <f>VLOOKUP(F217,'[2]CLUSTER_MUNICIPIOS tarifas'!$D:$E,2,0)</f>
        <v>Moderado</v>
      </c>
      <c r="H217" s="2">
        <f>VLOOKUP(F217,'[3]CLUSTER_MUNICIPIOS tarifas'!$D:$F,3,0)</f>
        <v>19001</v>
      </c>
      <c r="I217" s="2" t="s">
        <v>239</v>
      </c>
      <c r="J217" s="18">
        <v>45323</v>
      </c>
      <c r="K217" s="8" t="s">
        <v>22</v>
      </c>
      <c r="L217" s="8" t="s">
        <v>23</v>
      </c>
      <c r="M217" s="5"/>
      <c r="N217" s="2"/>
      <c r="O217" s="2">
        <v>2</v>
      </c>
      <c r="P217" s="2"/>
      <c r="Q217" s="2"/>
      <c r="R217" s="2">
        <v>2</v>
      </c>
      <c r="S217" s="2">
        <v>1</v>
      </c>
      <c r="T217" s="2"/>
      <c r="U217" s="2"/>
      <c r="V217" s="2"/>
      <c r="W217" s="2"/>
      <c r="X217" s="2"/>
      <c r="Y217" s="2"/>
      <c r="Z217" s="2"/>
      <c r="AA217" s="2"/>
      <c r="AB217" s="2"/>
      <c r="AC217" s="2">
        <f t="shared" si="8"/>
        <v>5</v>
      </c>
    </row>
    <row r="218" spans="1:29" x14ac:dyDescent="0.2">
      <c r="A218" s="2" t="s">
        <v>359</v>
      </c>
      <c r="B218" s="2" t="s">
        <v>19</v>
      </c>
      <c r="C218" s="27">
        <v>1</v>
      </c>
      <c r="D218" s="2" t="s">
        <v>20</v>
      </c>
      <c r="E218" s="2" t="str">
        <f>VLOOKUP(D218,[1]Comunas!$A:$E,5,0)</f>
        <v>Cauca</v>
      </c>
      <c r="F218" s="7" t="str">
        <f t="shared" si="7"/>
        <v>CaucaPOPAYAN</v>
      </c>
      <c r="G218" s="2" t="str">
        <f>VLOOKUP(F218,'[2]CLUSTER_MUNICIPIOS tarifas'!$D:$E,2,0)</f>
        <v>Moderado</v>
      </c>
      <c r="H218" s="2">
        <f>VLOOKUP(F218,'[3]CLUSTER_MUNICIPIOS tarifas'!$D:$F,3,0)</f>
        <v>19001</v>
      </c>
      <c r="I218" s="2" t="s">
        <v>240</v>
      </c>
      <c r="J218" s="18">
        <v>45323</v>
      </c>
      <c r="K218" s="8" t="s">
        <v>22</v>
      </c>
      <c r="L218" s="8" t="s">
        <v>23</v>
      </c>
      <c r="M218" s="5"/>
      <c r="N218" s="2"/>
      <c r="O218" s="2"/>
      <c r="P218" s="2"/>
      <c r="Q218" s="2">
        <v>3</v>
      </c>
      <c r="R218" s="2">
        <v>4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>
        <f t="shared" si="8"/>
        <v>7</v>
      </c>
    </row>
    <row r="219" spans="1:29" x14ac:dyDescent="0.2">
      <c r="A219" s="2" t="s">
        <v>359</v>
      </c>
      <c r="B219" s="2" t="s">
        <v>19</v>
      </c>
      <c r="C219" s="27">
        <v>1</v>
      </c>
      <c r="D219" s="2" t="s">
        <v>20</v>
      </c>
      <c r="E219" s="2" t="str">
        <f>VLOOKUP(D219,[1]Comunas!$A:$E,5,0)</f>
        <v>Cauca</v>
      </c>
      <c r="F219" s="7" t="str">
        <f t="shared" si="7"/>
        <v>CaucaPOPAYAN</v>
      </c>
      <c r="G219" s="2" t="str">
        <f>VLOOKUP(F219,'[2]CLUSTER_MUNICIPIOS tarifas'!$D:$E,2,0)</f>
        <v>Moderado</v>
      </c>
      <c r="H219" s="2">
        <f>VLOOKUP(F219,'[3]CLUSTER_MUNICIPIOS tarifas'!$D:$F,3,0)</f>
        <v>19001</v>
      </c>
      <c r="I219" s="2" t="s">
        <v>241</v>
      </c>
      <c r="J219" s="18">
        <v>45323</v>
      </c>
      <c r="K219" s="8" t="s">
        <v>22</v>
      </c>
      <c r="L219" s="8" t="s">
        <v>23</v>
      </c>
      <c r="M219" s="5"/>
      <c r="N219" s="2">
        <v>4</v>
      </c>
      <c r="O219" s="2">
        <v>2</v>
      </c>
      <c r="P219" s="2"/>
      <c r="Q219" s="2"/>
      <c r="R219" s="2">
        <v>2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>
        <f t="shared" si="8"/>
        <v>8</v>
      </c>
    </row>
    <row r="220" spans="1:29" x14ac:dyDescent="0.2">
      <c r="A220" s="2" t="s">
        <v>359</v>
      </c>
      <c r="B220" s="2" t="s">
        <v>19</v>
      </c>
      <c r="C220" s="27">
        <v>1</v>
      </c>
      <c r="D220" s="2" t="s">
        <v>20</v>
      </c>
      <c r="E220" s="2" t="str">
        <f>VLOOKUP(D220,[1]Comunas!$A:$E,5,0)</f>
        <v>Cauca</v>
      </c>
      <c r="F220" s="7" t="str">
        <f t="shared" si="7"/>
        <v>CaucaPOPAYAN</v>
      </c>
      <c r="G220" s="2" t="str">
        <f>VLOOKUP(F220,'[2]CLUSTER_MUNICIPIOS tarifas'!$D:$E,2,0)</f>
        <v>Moderado</v>
      </c>
      <c r="H220" s="2">
        <f>VLOOKUP(F220,'[3]CLUSTER_MUNICIPIOS tarifas'!$D:$F,3,0)</f>
        <v>19001</v>
      </c>
      <c r="I220" s="2" t="s">
        <v>242</v>
      </c>
      <c r="J220" s="18">
        <v>45323</v>
      </c>
      <c r="K220" s="8" t="s">
        <v>22</v>
      </c>
      <c r="L220" s="8" t="s">
        <v>23</v>
      </c>
      <c r="M220" s="5"/>
      <c r="N220" s="2"/>
      <c r="O220" s="2">
        <v>3</v>
      </c>
      <c r="P220" s="2"/>
      <c r="Q220" s="2"/>
      <c r="R220" s="2">
        <v>1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>
        <f t="shared" si="8"/>
        <v>4</v>
      </c>
    </row>
    <row r="221" spans="1:29" x14ac:dyDescent="0.2">
      <c r="A221" s="2" t="s">
        <v>359</v>
      </c>
      <c r="B221" s="2" t="s">
        <v>19</v>
      </c>
      <c r="C221" s="27">
        <v>1</v>
      </c>
      <c r="D221" s="2" t="s">
        <v>20</v>
      </c>
      <c r="E221" s="2" t="str">
        <f>VLOOKUP(D221,[1]Comunas!$A:$E,5,0)</f>
        <v>Cauca</v>
      </c>
      <c r="F221" s="7" t="str">
        <f t="shared" si="7"/>
        <v>CaucaPOPAYAN</v>
      </c>
      <c r="G221" s="2" t="str">
        <f>VLOOKUP(F221,'[2]CLUSTER_MUNICIPIOS tarifas'!$D:$E,2,0)</f>
        <v>Moderado</v>
      </c>
      <c r="H221" s="2">
        <f>VLOOKUP(F221,'[3]CLUSTER_MUNICIPIOS tarifas'!$D:$F,3,0)</f>
        <v>19001</v>
      </c>
      <c r="I221" s="2" t="s">
        <v>243</v>
      </c>
      <c r="J221" s="18">
        <v>45323</v>
      </c>
      <c r="K221" s="8" t="s">
        <v>22</v>
      </c>
      <c r="L221" s="8" t="s">
        <v>23</v>
      </c>
      <c r="M221" s="5"/>
      <c r="N221" s="2"/>
      <c r="O221" s="2"/>
      <c r="P221" s="2"/>
      <c r="Q221" s="2">
        <v>2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>
        <f t="shared" si="8"/>
        <v>2</v>
      </c>
    </row>
    <row r="222" spans="1:29" x14ac:dyDescent="0.2">
      <c r="A222" s="2" t="s">
        <v>359</v>
      </c>
      <c r="B222" s="2" t="s">
        <v>19</v>
      </c>
      <c r="C222" s="27">
        <v>1</v>
      </c>
      <c r="D222" s="2" t="s">
        <v>108</v>
      </c>
      <c r="E222" s="2" t="str">
        <f>VLOOKUP(D222,[1]Comunas!$A:$E,5,0)</f>
        <v>Cauca</v>
      </c>
      <c r="F222" s="7" t="str">
        <f t="shared" si="7"/>
        <v>CaucaSANTANDER DE QUILICHAO</v>
      </c>
      <c r="G222" s="2" t="str">
        <f>VLOOKUP(F222,'[2]CLUSTER_MUNICIPIOS tarifas'!$D:$E,2,0)</f>
        <v>Moderado</v>
      </c>
      <c r="H222" s="2">
        <f>VLOOKUP(F222,'[3]CLUSTER_MUNICIPIOS tarifas'!$D:$F,3,0)</f>
        <v>19698</v>
      </c>
      <c r="I222" s="2" t="s">
        <v>244</v>
      </c>
      <c r="J222" s="18">
        <v>45323</v>
      </c>
      <c r="K222" s="8" t="s">
        <v>22</v>
      </c>
      <c r="L222" s="8" t="s">
        <v>23</v>
      </c>
      <c r="M222" s="5"/>
      <c r="N222" s="2">
        <v>4</v>
      </c>
      <c r="O222" s="2">
        <v>1</v>
      </c>
      <c r="P222" s="2"/>
      <c r="Q222" s="2">
        <v>2</v>
      </c>
      <c r="R222" s="2">
        <v>2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>
        <f t="shared" si="8"/>
        <v>9</v>
      </c>
    </row>
    <row r="223" spans="1:29" x14ac:dyDescent="0.2">
      <c r="A223" s="2" t="s">
        <v>359</v>
      </c>
      <c r="B223" s="2" t="s">
        <v>19</v>
      </c>
      <c r="C223" s="27">
        <v>1</v>
      </c>
      <c r="D223" s="2" t="s">
        <v>20</v>
      </c>
      <c r="E223" s="2" t="str">
        <f>VLOOKUP(D223,[1]Comunas!$A:$E,5,0)</f>
        <v>Cauca</v>
      </c>
      <c r="F223" s="7" t="str">
        <f t="shared" si="7"/>
        <v>CaucaPOPAYAN</v>
      </c>
      <c r="G223" s="2" t="str">
        <f>VLOOKUP(F223,'[2]CLUSTER_MUNICIPIOS tarifas'!$D:$E,2,0)</f>
        <v>Moderado</v>
      </c>
      <c r="H223" s="2">
        <f>VLOOKUP(F223,'[3]CLUSTER_MUNICIPIOS tarifas'!$D:$F,3,0)</f>
        <v>19001</v>
      </c>
      <c r="I223" s="2" t="s">
        <v>245</v>
      </c>
      <c r="J223" s="18" t="s">
        <v>5</v>
      </c>
      <c r="K223" s="8" t="s">
        <v>22</v>
      </c>
      <c r="L223" s="8" t="s">
        <v>23</v>
      </c>
      <c r="M223" s="5"/>
      <c r="N223" s="2">
        <v>3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>
        <f t="shared" si="8"/>
        <v>3</v>
      </c>
    </row>
    <row r="224" spans="1:29" x14ac:dyDescent="0.2">
      <c r="A224" s="2" t="s">
        <v>359</v>
      </c>
      <c r="B224" s="2" t="s">
        <v>19</v>
      </c>
      <c r="C224" s="27">
        <v>1</v>
      </c>
      <c r="D224" s="2" t="s">
        <v>20</v>
      </c>
      <c r="E224" s="2" t="str">
        <f>VLOOKUP(D224,[1]Comunas!$A:$E,5,0)</f>
        <v>Cauca</v>
      </c>
      <c r="F224" s="7" t="str">
        <f t="shared" si="7"/>
        <v>CaucaPOPAYAN</v>
      </c>
      <c r="G224" s="2" t="str">
        <f>VLOOKUP(F224,'[2]CLUSTER_MUNICIPIOS tarifas'!$D:$E,2,0)</f>
        <v>Moderado</v>
      </c>
      <c r="H224" s="2">
        <f>VLOOKUP(F224,'[3]CLUSTER_MUNICIPIOS tarifas'!$D:$F,3,0)</f>
        <v>19001</v>
      </c>
      <c r="I224" s="2" t="s">
        <v>246</v>
      </c>
      <c r="J224" s="18" t="s">
        <v>5</v>
      </c>
      <c r="K224" s="8" t="s">
        <v>22</v>
      </c>
      <c r="L224" s="8" t="s">
        <v>23</v>
      </c>
      <c r="M224" s="5"/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>
        <f t="shared" si="8"/>
        <v>1</v>
      </c>
    </row>
    <row r="225" spans="1:29" x14ac:dyDescent="0.2">
      <c r="A225" s="2" t="s">
        <v>359</v>
      </c>
      <c r="B225" s="2" t="s">
        <v>19</v>
      </c>
      <c r="C225" s="27">
        <v>1</v>
      </c>
      <c r="D225" s="2" t="s">
        <v>20</v>
      </c>
      <c r="E225" s="2" t="str">
        <f>VLOOKUP(D225,[1]Comunas!$A:$E,5,0)</f>
        <v>Cauca</v>
      </c>
      <c r="F225" s="7" t="str">
        <f t="shared" si="7"/>
        <v>CaucaPOPAYAN</v>
      </c>
      <c r="G225" s="2" t="str">
        <f>VLOOKUP(F225,'[2]CLUSTER_MUNICIPIOS tarifas'!$D:$E,2,0)</f>
        <v>Moderado</v>
      </c>
      <c r="H225" s="2">
        <f>VLOOKUP(F225,'[3]CLUSTER_MUNICIPIOS tarifas'!$D:$F,3,0)</f>
        <v>19001</v>
      </c>
      <c r="I225" s="2" t="s">
        <v>247</v>
      </c>
      <c r="J225" s="18" t="s">
        <v>5</v>
      </c>
      <c r="K225" s="8" t="s">
        <v>22</v>
      </c>
      <c r="L225" s="8" t="s">
        <v>23</v>
      </c>
      <c r="M225" s="5"/>
      <c r="N225" s="2"/>
      <c r="O225" s="2"/>
      <c r="P225" s="2"/>
      <c r="Q225" s="2">
        <v>1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>
        <f t="shared" si="8"/>
        <v>1</v>
      </c>
    </row>
    <row r="226" spans="1:29" x14ac:dyDescent="0.2">
      <c r="A226" s="2" t="s">
        <v>359</v>
      </c>
      <c r="B226" s="2" t="s">
        <v>19</v>
      </c>
      <c r="C226" s="27">
        <v>1</v>
      </c>
      <c r="D226" s="2" t="s">
        <v>20</v>
      </c>
      <c r="E226" s="2" t="str">
        <f>VLOOKUP(D226,[1]Comunas!$A:$E,5,0)</f>
        <v>Cauca</v>
      </c>
      <c r="F226" s="7" t="str">
        <f t="shared" si="7"/>
        <v>CaucaPOPAYAN</v>
      </c>
      <c r="G226" s="2" t="str">
        <f>VLOOKUP(F226,'[2]CLUSTER_MUNICIPIOS tarifas'!$D:$E,2,0)</f>
        <v>Moderado</v>
      </c>
      <c r="H226" s="2">
        <f>VLOOKUP(F226,'[3]CLUSTER_MUNICIPIOS tarifas'!$D:$F,3,0)</f>
        <v>19001</v>
      </c>
      <c r="I226" s="2" t="s">
        <v>248</v>
      </c>
      <c r="J226" s="18" t="s">
        <v>5</v>
      </c>
      <c r="K226" s="8" t="s">
        <v>22</v>
      </c>
      <c r="L226" s="8" t="s">
        <v>23</v>
      </c>
      <c r="M226" s="5"/>
      <c r="N226" s="2">
        <v>2</v>
      </c>
      <c r="O226" s="2">
        <v>1</v>
      </c>
      <c r="P226" s="2"/>
      <c r="Q226" s="2">
        <v>1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>
        <f t="shared" si="8"/>
        <v>4</v>
      </c>
    </row>
    <row r="227" spans="1:29" x14ac:dyDescent="0.2">
      <c r="A227" s="2" t="s">
        <v>359</v>
      </c>
      <c r="B227" s="2" t="s">
        <v>19</v>
      </c>
      <c r="C227" s="27">
        <v>1</v>
      </c>
      <c r="D227" s="2" t="s">
        <v>20</v>
      </c>
      <c r="E227" s="2" t="str">
        <f>VLOOKUP(D227,[1]Comunas!$A:$E,5,0)</f>
        <v>Cauca</v>
      </c>
      <c r="F227" s="7" t="str">
        <f t="shared" si="7"/>
        <v>CaucaPOPAYAN</v>
      </c>
      <c r="G227" s="2" t="str">
        <f>VLOOKUP(F227,'[2]CLUSTER_MUNICIPIOS tarifas'!$D:$E,2,0)</f>
        <v>Moderado</v>
      </c>
      <c r="H227" s="2">
        <f>VLOOKUP(F227,'[3]CLUSTER_MUNICIPIOS tarifas'!$D:$F,3,0)</f>
        <v>19001</v>
      </c>
      <c r="I227" s="2" t="s">
        <v>249</v>
      </c>
      <c r="J227" s="18" t="s">
        <v>5</v>
      </c>
      <c r="K227" s="8" t="s">
        <v>22</v>
      </c>
      <c r="L227" s="8" t="s">
        <v>23</v>
      </c>
      <c r="M227" s="5"/>
      <c r="N227" s="2"/>
      <c r="O227" s="2"/>
      <c r="P227" s="2"/>
      <c r="Q227" s="2"/>
      <c r="R227" s="2">
        <v>2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>
        <f t="shared" si="8"/>
        <v>2</v>
      </c>
    </row>
    <row r="228" spans="1:29" x14ac:dyDescent="0.2">
      <c r="A228" s="2" t="s">
        <v>359</v>
      </c>
      <c r="B228" s="2" t="s">
        <v>19</v>
      </c>
      <c r="C228" s="27">
        <v>1</v>
      </c>
      <c r="D228" s="2" t="s">
        <v>20</v>
      </c>
      <c r="E228" s="2" t="str">
        <f>VLOOKUP(D228,[1]Comunas!$A:$E,5,0)</f>
        <v>Cauca</v>
      </c>
      <c r="F228" s="7" t="str">
        <f t="shared" si="7"/>
        <v>CaucaPOPAYAN</v>
      </c>
      <c r="G228" s="2" t="str">
        <f>VLOOKUP(F228,'[2]CLUSTER_MUNICIPIOS tarifas'!$D:$E,2,0)</f>
        <v>Moderado</v>
      </c>
      <c r="H228" s="2">
        <f>VLOOKUP(F228,'[3]CLUSTER_MUNICIPIOS tarifas'!$D:$F,3,0)</f>
        <v>19001</v>
      </c>
      <c r="I228" s="2" t="s">
        <v>250</v>
      </c>
      <c r="J228" s="18" t="s">
        <v>5</v>
      </c>
      <c r="K228" s="8" t="s">
        <v>22</v>
      </c>
      <c r="L228" s="8" t="s">
        <v>23</v>
      </c>
      <c r="M228" s="5"/>
      <c r="N228" s="2">
        <v>1</v>
      </c>
      <c r="O228" s="2"/>
      <c r="P228" s="2"/>
      <c r="Q228" s="2"/>
      <c r="R228" s="2">
        <v>2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>
        <f t="shared" si="8"/>
        <v>3</v>
      </c>
    </row>
    <row r="229" spans="1:29" x14ac:dyDescent="0.2">
      <c r="A229" s="2" t="s">
        <v>359</v>
      </c>
      <c r="B229" s="2" t="s">
        <v>19</v>
      </c>
      <c r="C229" s="27">
        <v>1</v>
      </c>
      <c r="D229" s="2" t="s">
        <v>20</v>
      </c>
      <c r="E229" s="2" t="str">
        <f>VLOOKUP(D229,[1]Comunas!$A:$E,5,0)</f>
        <v>Cauca</v>
      </c>
      <c r="F229" s="7" t="str">
        <f t="shared" si="7"/>
        <v>CaucaPOPAYAN</v>
      </c>
      <c r="G229" s="2" t="str">
        <f>VLOOKUP(F229,'[2]CLUSTER_MUNICIPIOS tarifas'!$D:$E,2,0)</f>
        <v>Moderado</v>
      </c>
      <c r="H229" s="2">
        <f>VLOOKUP(F229,'[3]CLUSTER_MUNICIPIOS tarifas'!$D:$F,3,0)</f>
        <v>19001</v>
      </c>
      <c r="I229" s="2" t="s">
        <v>251</v>
      </c>
      <c r="J229" s="18" t="s">
        <v>5</v>
      </c>
      <c r="K229" s="8" t="s">
        <v>22</v>
      </c>
      <c r="L229" s="8" t="s">
        <v>23</v>
      </c>
      <c r="M229" s="5"/>
      <c r="N229" s="2"/>
      <c r="O229" s="2"/>
      <c r="P229" s="2"/>
      <c r="Q229" s="2">
        <v>1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>
        <f t="shared" si="8"/>
        <v>1</v>
      </c>
    </row>
    <row r="230" spans="1:29" x14ac:dyDescent="0.2">
      <c r="A230" s="2" t="s">
        <v>359</v>
      </c>
      <c r="B230" s="2" t="s">
        <v>19</v>
      </c>
      <c r="C230" s="27">
        <v>1</v>
      </c>
      <c r="D230" s="2" t="s">
        <v>20</v>
      </c>
      <c r="E230" s="2" t="str">
        <f>VLOOKUP(D230,[1]Comunas!$A:$E,5,0)</f>
        <v>Cauca</v>
      </c>
      <c r="F230" s="7" t="str">
        <f t="shared" si="7"/>
        <v>CaucaPOPAYAN</v>
      </c>
      <c r="G230" s="2" t="str">
        <f>VLOOKUP(F230,'[2]CLUSTER_MUNICIPIOS tarifas'!$D:$E,2,0)</f>
        <v>Moderado</v>
      </c>
      <c r="H230" s="2">
        <f>VLOOKUP(F230,'[3]CLUSTER_MUNICIPIOS tarifas'!$D:$F,3,0)</f>
        <v>19001</v>
      </c>
      <c r="I230" s="2" t="s">
        <v>252</v>
      </c>
      <c r="J230" s="18" t="s">
        <v>5</v>
      </c>
      <c r="K230" s="8" t="s">
        <v>22</v>
      </c>
      <c r="L230" s="8" t="s">
        <v>23</v>
      </c>
      <c r="M230" s="5"/>
      <c r="N230" s="2"/>
      <c r="O230" s="2"/>
      <c r="P230" s="2"/>
      <c r="Q230" s="2"/>
      <c r="R230" s="2">
        <v>2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>
        <f t="shared" si="8"/>
        <v>2</v>
      </c>
    </row>
    <row r="231" spans="1:29" x14ac:dyDescent="0.2">
      <c r="A231" s="2" t="s">
        <v>359</v>
      </c>
      <c r="B231" s="2" t="s">
        <v>19</v>
      </c>
      <c r="C231" s="27">
        <v>1</v>
      </c>
      <c r="D231" s="2" t="s">
        <v>20</v>
      </c>
      <c r="E231" s="2" t="str">
        <f>VLOOKUP(D231,[1]Comunas!$A:$E,5,0)</f>
        <v>Cauca</v>
      </c>
      <c r="F231" s="7" t="str">
        <f t="shared" si="7"/>
        <v>CaucaPOPAYAN</v>
      </c>
      <c r="G231" s="2" t="str">
        <f>VLOOKUP(F231,'[2]CLUSTER_MUNICIPIOS tarifas'!$D:$E,2,0)</f>
        <v>Moderado</v>
      </c>
      <c r="H231" s="2">
        <f>VLOOKUP(F231,'[3]CLUSTER_MUNICIPIOS tarifas'!$D:$F,3,0)</f>
        <v>19001</v>
      </c>
      <c r="I231" s="2" t="s">
        <v>253</v>
      </c>
      <c r="J231" s="18" t="s">
        <v>5</v>
      </c>
      <c r="K231" s="8" t="s">
        <v>22</v>
      </c>
      <c r="L231" s="8" t="s">
        <v>23</v>
      </c>
      <c r="M231" s="5"/>
      <c r="N231" s="2">
        <v>1</v>
      </c>
      <c r="O231" s="2"/>
      <c r="P231" s="2"/>
      <c r="Q231" s="2">
        <v>1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>
        <f t="shared" si="8"/>
        <v>2</v>
      </c>
    </row>
    <row r="232" spans="1:29" x14ac:dyDescent="0.2">
      <c r="A232" s="2" t="s">
        <v>359</v>
      </c>
      <c r="B232" s="2" t="s">
        <v>19</v>
      </c>
      <c r="C232" s="27">
        <v>1</v>
      </c>
      <c r="D232" s="2" t="s">
        <v>20</v>
      </c>
      <c r="E232" s="2" t="str">
        <f>VLOOKUP(D232,[1]Comunas!$A:$E,5,0)</f>
        <v>Cauca</v>
      </c>
      <c r="F232" s="7" t="str">
        <f t="shared" si="7"/>
        <v>CaucaPOPAYAN</v>
      </c>
      <c r="G232" s="2" t="str">
        <f>VLOOKUP(F232,'[2]CLUSTER_MUNICIPIOS tarifas'!$D:$E,2,0)</f>
        <v>Moderado</v>
      </c>
      <c r="H232" s="2">
        <f>VLOOKUP(F232,'[3]CLUSTER_MUNICIPIOS tarifas'!$D:$F,3,0)</f>
        <v>19001</v>
      </c>
      <c r="I232" s="2" t="s">
        <v>254</v>
      </c>
      <c r="J232" s="18" t="s">
        <v>5</v>
      </c>
      <c r="K232" s="8" t="s">
        <v>22</v>
      </c>
      <c r="L232" s="8" t="s">
        <v>23</v>
      </c>
      <c r="M232" s="5"/>
      <c r="N232" s="2">
        <v>1</v>
      </c>
      <c r="O232" s="2"/>
      <c r="P232" s="2"/>
      <c r="Q232" s="2">
        <v>2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>
        <f t="shared" si="8"/>
        <v>3</v>
      </c>
    </row>
    <row r="233" spans="1:29" x14ac:dyDescent="0.2">
      <c r="A233" s="2" t="s">
        <v>359</v>
      </c>
      <c r="B233" s="2" t="s">
        <v>19</v>
      </c>
      <c r="C233" s="27">
        <v>1</v>
      </c>
      <c r="D233" s="2" t="s">
        <v>108</v>
      </c>
      <c r="E233" s="2" t="str">
        <f>VLOOKUP(D233,[1]Comunas!$A:$E,5,0)</f>
        <v>Cauca</v>
      </c>
      <c r="F233" s="7" t="str">
        <f t="shared" si="7"/>
        <v>CaucaSANTANDER DE QUILICHAO</v>
      </c>
      <c r="G233" s="2" t="str">
        <f>VLOOKUP(F233,'[2]CLUSTER_MUNICIPIOS tarifas'!$D:$E,2,0)</f>
        <v>Moderado</v>
      </c>
      <c r="H233" s="2">
        <f>VLOOKUP(F233,'[3]CLUSTER_MUNICIPIOS tarifas'!$D:$F,3,0)</f>
        <v>19698</v>
      </c>
      <c r="I233" s="2" t="s">
        <v>255</v>
      </c>
      <c r="J233" s="18" t="s">
        <v>5</v>
      </c>
      <c r="K233" s="8" t="s">
        <v>22</v>
      </c>
      <c r="L233" s="8" t="s">
        <v>23</v>
      </c>
      <c r="M233" s="5"/>
      <c r="N233" s="2">
        <v>2</v>
      </c>
      <c r="O233" s="2"/>
      <c r="P233" s="2"/>
      <c r="Q233" s="2">
        <v>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>
        <f t="shared" si="8"/>
        <v>3</v>
      </c>
    </row>
    <row r="234" spans="1:29" x14ac:dyDescent="0.2">
      <c r="A234" s="2" t="s">
        <v>359</v>
      </c>
      <c r="B234" s="2" t="s">
        <v>19</v>
      </c>
      <c r="C234" s="27">
        <v>1</v>
      </c>
      <c r="D234" s="2" t="s">
        <v>20</v>
      </c>
      <c r="E234" s="2" t="str">
        <f>VLOOKUP(D234,[1]Comunas!$A:$E,5,0)</f>
        <v>Cauca</v>
      </c>
      <c r="F234" s="7" t="str">
        <f t="shared" si="7"/>
        <v>CaucaPOPAYAN</v>
      </c>
      <c r="G234" s="2" t="str">
        <f>VLOOKUP(F234,'[2]CLUSTER_MUNICIPIOS tarifas'!$D:$E,2,0)</f>
        <v>Moderado</v>
      </c>
      <c r="H234" s="2">
        <f>VLOOKUP(F234,'[3]CLUSTER_MUNICIPIOS tarifas'!$D:$F,3,0)</f>
        <v>19001</v>
      </c>
      <c r="I234" s="2" t="s">
        <v>256</v>
      </c>
      <c r="J234" s="18" t="s">
        <v>6</v>
      </c>
      <c r="K234" s="8" t="s">
        <v>22</v>
      </c>
      <c r="L234" s="8" t="s">
        <v>23</v>
      </c>
      <c r="M234" s="5"/>
      <c r="N234" s="2">
        <v>27</v>
      </c>
      <c r="O234" s="2">
        <v>1</v>
      </c>
      <c r="P234" s="2"/>
      <c r="Q234" s="2">
        <v>8</v>
      </c>
      <c r="R234" s="2">
        <v>4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>
        <f t="shared" si="8"/>
        <v>40</v>
      </c>
    </row>
    <row r="235" spans="1:29" x14ac:dyDescent="0.2">
      <c r="A235" s="2" t="s">
        <v>359</v>
      </c>
      <c r="B235" s="2" t="s">
        <v>19</v>
      </c>
      <c r="C235" s="27">
        <v>1</v>
      </c>
      <c r="D235" s="2" t="s">
        <v>20</v>
      </c>
      <c r="E235" s="2" t="str">
        <f>VLOOKUP(D235,[1]Comunas!$A:$E,5,0)</f>
        <v>Cauca</v>
      </c>
      <c r="F235" s="7" t="str">
        <f t="shared" si="7"/>
        <v>CaucaPOPAYAN</v>
      </c>
      <c r="G235" s="2" t="str">
        <f>VLOOKUP(F235,'[2]CLUSTER_MUNICIPIOS tarifas'!$D:$E,2,0)</f>
        <v>Moderado</v>
      </c>
      <c r="H235" s="2">
        <f>VLOOKUP(F235,'[3]CLUSTER_MUNICIPIOS tarifas'!$D:$F,3,0)</f>
        <v>19001</v>
      </c>
      <c r="I235" s="2" t="s">
        <v>257</v>
      </c>
      <c r="J235" s="18" t="s">
        <v>6</v>
      </c>
      <c r="K235" s="8" t="s">
        <v>22</v>
      </c>
      <c r="L235" s="8" t="s">
        <v>23</v>
      </c>
      <c r="M235" s="5"/>
      <c r="N235" s="2">
        <v>1</v>
      </c>
      <c r="O235" s="2">
        <v>3</v>
      </c>
      <c r="P235" s="2"/>
      <c r="Q235" s="2">
        <v>5</v>
      </c>
      <c r="R235" s="2">
        <v>3</v>
      </c>
      <c r="S235" s="2"/>
      <c r="T235" s="2">
        <v>4</v>
      </c>
      <c r="U235" s="2"/>
      <c r="V235" s="2"/>
      <c r="W235" s="2"/>
      <c r="X235" s="2"/>
      <c r="Y235" s="2"/>
      <c r="Z235" s="2"/>
      <c r="AA235" s="2"/>
      <c r="AB235" s="2"/>
      <c r="AC235" s="2">
        <f t="shared" si="8"/>
        <v>16</v>
      </c>
    </row>
    <row r="236" spans="1:29" x14ac:dyDescent="0.2">
      <c r="A236" s="2" t="s">
        <v>359</v>
      </c>
      <c r="B236" s="2" t="s">
        <v>19</v>
      </c>
      <c r="C236" s="27">
        <v>1</v>
      </c>
      <c r="D236" s="2" t="s">
        <v>20</v>
      </c>
      <c r="E236" s="2" t="str">
        <f>VLOOKUP(D236,[1]Comunas!$A:$E,5,0)</f>
        <v>Cauca</v>
      </c>
      <c r="F236" s="7" t="str">
        <f t="shared" si="7"/>
        <v>CaucaPOPAYAN</v>
      </c>
      <c r="G236" s="2" t="str">
        <f>VLOOKUP(F236,'[2]CLUSTER_MUNICIPIOS tarifas'!$D:$E,2,0)</f>
        <v>Moderado</v>
      </c>
      <c r="H236" s="2">
        <f>VLOOKUP(F236,'[3]CLUSTER_MUNICIPIOS tarifas'!$D:$F,3,0)</f>
        <v>19001</v>
      </c>
      <c r="I236" s="2" t="s">
        <v>258</v>
      </c>
      <c r="J236" s="18" t="s">
        <v>6</v>
      </c>
      <c r="K236" s="8" t="s">
        <v>22</v>
      </c>
      <c r="L236" s="8" t="s">
        <v>23</v>
      </c>
      <c r="M236" s="5"/>
      <c r="N236" s="2">
        <v>30</v>
      </c>
      <c r="O236" s="2">
        <v>7</v>
      </c>
      <c r="P236" s="2"/>
      <c r="Q236" s="2">
        <v>5</v>
      </c>
      <c r="R236" s="2">
        <v>3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>
        <f t="shared" si="8"/>
        <v>45</v>
      </c>
    </row>
    <row r="237" spans="1:29" x14ac:dyDescent="0.2">
      <c r="A237" s="2" t="s">
        <v>359</v>
      </c>
      <c r="B237" s="2" t="s">
        <v>19</v>
      </c>
      <c r="C237" s="27">
        <v>1</v>
      </c>
      <c r="D237" s="2" t="s">
        <v>20</v>
      </c>
      <c r="E237" s="2" t="str">
        <f>VLOOKUP(D237,[1]Comunas!$A:$E,5,0)</f>
        <v>Cauca</v>
      </c>
      <c r="F237" s="7" t="str">
        <f t="shared" si="7"/>
        <v>CaucaPOPAYAN</v>
      </c>
      <c r="G237" s="2" t="str">
        <f>VLOOKUP(F237,'[2]CLUSTER_MUNICIPIOS tarifas'!$D:$E,2,0)</f>
        <v>Moderado</v>
      </c>
      <c r="H237" s="2">
        <f>VLOOKUP(F237,'[3]CLUSTER_MUNICIPIOS tarifas'!$D:$F,3,0)</f>
        <v>19001</v>
      </c>
      <c r="I237" s="2" t="s">
        <v>259</v>
      </c>
      <c r="J237" s="18" t="s">
        <v>6</v>
      </c>
      <c r="K237" s="8" t="s">
        <v>22</v>
      </c>
      <c r="L237" s="8" t="s">
        <v>23</v>
      </c>
      <c r="M237" s="5"/>
      <c r="N237" s="2"/>
      <c r="O237" s="2"/>
      <c r="P237" s="2"/>
      <c r="Q237" s="2">
        <v>1</v>
      </c>
      <c r="R237" s="2">
        <v>1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>
        <f t="shared" si="8"/>
        <v>2</v>
      </c>
    </row>
    <row r="238" spans="1:29" x14ac:dyDescent="0.2">
      <c r="A238" s="2" t="s">
        <v>359</v>
      </c>
      <c r="B238" s="2" t="s">
        <v>19</v>
      </c>
      <c r="C238" s="27">
        <v>1</v>
      </c>
      <c r="D238" s="2" t="s">
        <v>20</v>
      </c>
      <c r="E238" s="2" t="str">
        <f>VLOOKUP(D238,[1]Comunas!$A:$E,5,0)</f>
        <v>Cauca</v>
      </c>
      <c r="F238" s="7" t="str">
        <f t="shared" si="7"/>
        <v>CaucaPOPAYAN</v>
      </c>
      <c r="G238" s="2" t="str">
        <f>VLOOKUP(F238,'[2]CLUSTER_MUNICIPIOS tarifas'!$D:$E,2,0)</f>
        <v>Moderado</v>
      </c>
      <c r="H238" s="2">
        <f>VLOOKUP(F238,'[3]CLUSTER_MUNICIPIOS tarifas'!$D:$F,3,0)</f>
        <v>19001</v>
      </c>
      <c r="I238" s="2" t="s">
        <v>260</v>
      </c>
      <c r="J238" s="18" t="s">
        <v>6</v>
      </c>
      <c r="K238" s="8" t="s">
        <v>22</v>
      </c>
      <c r="L238" s="8" t="s">
        <v>23</v>
      </c>
      <c r="M238" s="5"/>
      <c r="N238" s="2">
        <v>3</v>
      </c>
      <c r="O238" s="2">
        <v>4</v>
      </c>
      <c r="P238" s="2"/>
      <c r="Q238" s="2"/>
      <c r="R238" s="2">
        <v>2</v>
      </c>
      <c r="S238" s="2"/>
      <c r="T238" s="2">
        <v>1</v>
      </c>
      <c r="U238" s="2"/>
      <c r="V238" s="2"/>
      <c r="W238" s="2"/>
      <c r="X238" s="2"/>
      <c r="Y238" s="2"/>
      <c r="Z238" s="2"/>
      <c r="AA238" s="2"/>
      <c r="AB238" s="2"/>
      <c r="AC238" s="2">
        <f t="shared" si="8"/>
        <v>10</v>
      </c>
    </row>
    <row r="239" spans="1:29" x14ac:dyDescent="0.2">
      <c r="A239" s="2" t="s">
        <v>359</v>
      </c>
      <c r="B239" s="2" t="s">
        <v>19</v>
      </c>
      <c r="C239" s="27">
        <v>1</v>
      </c>
      <c r="D239" s="2" t="s">
        <v>20</v>
      </c>
      <c r="E239" s="2" t="str">
        <f>VLOOKUP(D239,[1]Comunas!$A:$E,5,0)</f>
        <v>Cauca</v>
      </c>
      <c r="F239" s="7" t="str">
        <f t="shared" si="7"/>
        <v>CaucaPOPAYAN</v>
      </c>
      <c r="G239" s="2" t="str">
        <f>VLOOKUP(F239,'[2]CLUSTER_MUNICIPIOS tarifas'!$D:$E,2,0)</f>
        <v>Moderado</v>
      </c>
      <c r="H239" s="2">
        <f>VLOOKUP(F239,'[3]CLUSTER_MUNICIPIOS tarifas'!$D:$F,3,0)</f>
        <v>19001</v>
      </c>
      <c r="I239" s="2" t="s">
        <v>261</v>
      </c>
      <c r="J239" s="18" t="s">
        <v>6</v>
      </c>
      <c r="K239" s="8" t="s">
        <v>22</v>
      </c>
      <c r="L239" s="8" t="s">
        <v>23</v>
      </c>
      <c r="M239" s="5"/>
      <c r="N239" s="2">
        <v>2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>
        <f t="shared" si="8"/>
        <v>2</v>
      </c>
    </row>
    <row r="240" spans="1:29" x14ac:dyDescent="0.2">
      <c r="A240" s="2" t="s">
        <v>359</v>
      </c>
      <c r="B240" s="2" t="s">
        <v>19</v>
      </c>
      <c r="C240" s="27">
        <v>1</v>
      </c>
      <c r="D240" s="2" t="s">
        <v>108</v>
      </c>
      <c r="E240" s="2" t="str">
        <f>VLOOKUP(D240,[1]Comunas!$A:$E,5,0)</f>
        <v>Cauca</v>
      </c>
      <c r="F240" s="7" t="str">
        <f t="shared" si="7"/>
        <v>CaucaSANTANDER DE QUILICHAO</v>
      </c>
      <c r="G240" s="2" t="str">
        <f>VLOOKUP(F240,'[2]CLUSTER_MUNICIPIOS tarifas'!$D:$E,2,0)</f>
        <v>Moderado</v>
      </c>
      <c r="H240" s="2">
        <f>VLOOKUP(F240,'[3]CLUSTER_MUNICIPIOS tarifas'!$D:$F,3,0)</f>
        <v>19698</v>
      </c>
      <c r="I240" s="2" t="s">
        <v>262</v>
      </c>
      <c r="J240" s="18" t="s">
        <v>6</v>
      </c>
      <c r="K240" s="8" t="s">
        <v>22</v>
      </c>
      <c r="L240" s="8" t="s">
        <v>23</v>
      </c>
      <c r="M240" s="5"/>
      <c r="N240" s="2">
        <v>7</v>
      </c>
      <c r="O240" s="2">
        <v>12</v>
      </c>
      <c r="P240" s="2"/>
      <c r="Q240" s="2">
        <v>3</v>
      </c>
      <c r="R240" s="2">
        <v>6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>
        <f t="shared" si="8"/>
        <v>28</v>
      </c>
    </row>
    <row r="241" spans="1:29" x14ac:dyDescent="0.2">
      <c r="A241" s="2" t="s">
        <v>359</v>
      </c>
      <c r="B241" s="2" t="s">
        <v>19</v>
      </c>
      <c r="C241" s="27">
        <v>1</v>
      </c>
      <c r="D241" s="2" t="s">
        <v>108</v>
      </c>
      <c r="E241" s="2" t="str">
        <f>VLOOKUP(D241,[1]Comunas!$A:$E,5,0)</f>
        <v>Cauca</v>
      </c>
      <c r="F241" s="7" t="str">
        <f t="shared" si="7"/>
        <v>CaucaSANTANDER DE QUILICHAO</v>
      </c>
      <c r="G241" s="2" t="str">
        <f>VLOOKUP(F241,'[2]CLUSTER_MUNICIPIOS tarifas'!$D:$E,2,0)</f>
        <v>Moderado</v>
      </c>
      <c r="H241" s="2">
        <f>VLOOKUP(F241,'[3]CLUSTER_MUNICIPIOS tarifas'!$D:$F,3,0)</f>
        <v>19698</v>
      </c>
      <c r="I241" s="2" t="s">
        <v>263</v>
      </c>
      <c r="J241" s="18" t="s">
        <v>6</v>
      </c>
      <c r="K241" s="8" t="s">
        <v>22</v>
      </c>
      <c r="L241" s="8" t="s">
        <v>23</v>
      </c>
      <c r="M241" s="5"/>
      <c r="N241" s="2">
        <v>6</v>
      </c>
      <c r="O241" s="2">
        <v>1</v>
      </c>
      <c r="P241" s="2"/>
      <c r="Q241" s="2"/>
      <c r="R241" s="2">
        <v>4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>
        <f t="shared" si="8"/>
        <v>11</v>
      </c>
    </row>
    <row r="242" spans="1:29" x14ac:dyDescent="0.2">
      <c r="A242" s="2" t="s">
        <v>359</v>
      </c>
      <c r="B242" s="2" t="s">
        <v>19</v>
      </c>
      <c r="C242" s="27">
        <v>1</v>
      </c>
      <c r="D242" s="2" t="s">
        <v>20</v>
      </c>
      <c r="E242" s="2" t="str">
        <f>VLOOKUP(D242,[1]Comunas!$A:$E,5,0)</f>
        <v>Cauca</v>
      </c>
      <c r="F242" s="7" t="str">
        <f t="shared" si="7"/>
        <v>CaucaPOPAYAN</v>
      </c>
      <c r="G242" s="2" t="str">
        <f>VLOOKUP(F242,'[2]CLUSTER_MUNICIPIOS tarifas'!$D:$E,2,0)</f>
        <v>Moderado</v>
      </c>
      <c r="H242" s="2">
        <f>VLOOKUP(F242,'[3]CLUSTER_MUNICIPIOS tarifas'!$D:$F,3,0)</f>
        <v>19001</v>
      </c>
      <c r="I242" s="2" t="s">
        <v>264</v>
      </c>
      <c r="J242" s="18" t="s">
        <v>7</v>
      </c>
      <c r="K242" s="8" t="s">
        <v>22</v>
      </c>
      <c r="L242" s="8" t="s">
        <v>23</v>
      </c>
      <c r="M242" s="5"/>
      <c r="N242" s="2"/>
      <c r="O242" s="2"/>
      <c r="P242" s="2"/>
      <c r="Q242" s="2"/>
      <c r="R242" s="2">
        <v>4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>
        <f t="shared" si="8"/>
        <v>4</v>
      </c>
    </row>
    <row r="243" spans="1:29" x14ac:dyDescent="0.2">
      <c r="A243" s="2" t="s">
        <v>359</v>
      </c>
      <c r="B243" s="2" t="s">
        <v>19</v>
      </c>
      <c r="C243" s="27">
        <v>1</v>
      </c>
      <c r="D243" s="2" t="s">
        <v>20</v>
      </c>
      <c r="E243" s="2" t="str">
        <f>VLOOKUP(D243,[1]Comunas!$A:$E,5,0)</f>
        <v>Cauca</v>
      </c>
      <c r="F243" s="7" t="str">
        <f t="shared" si="7"/>
        <v>CaucaPOPAYAN</v>
      </c>
      <c r="G243" s="2" t="str">
        <f>VLOOKUP(F243,'[2]CLUSTER_MUNICIPIOS tarifas'!$D:$E,2,0)</f>
        <v>Moderado</v>
      </c>
      <c r="H243" s="2">
        <f>VLOOKUP(F243,'[3]CLUSTER_MUNICIPIOS tarifas'!$D:$F,3,0)</f>
        <v>19001</v>
      </c>
      <c r="I243" s="2" t="s">
        <v>256</v>
      </c>
      <c r="J243" s="18" t="s">
        <v>7</v>
      </c>
      <c r="K243" s="8" t="s">
        <v>22</v>
      </c>
      <c r="L243" s="8" t="s">
        <v>23</v>
      </c>
      <c r="M243" s="5"/>
      <c r="N243" s="2">
        <v>2</v>
      </c>
      <c r="O243" s="2"/>
      <c r="P243" s="2"/>
      <c r="Q243" s="2">
        <v>1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>
        <f t="shared" si="8"/>
        <v>3</v>
      </c>
    </row>
    <row r="244" spans="1:29" x14ac:dyDescent="0.2">
      <c r="A244" s="2" t="s">
        <v>359</v>
      </c>
      <c r="B244" s="2" t="s">
        <v>19</v>
      </c>
      <c r="C244" s="27">
        <v>1</v>
      </c>
      <c r="D244" s="2" t="s">
        <v>20</v>
      </c>
      <c r="E244" s="2" t="str">
        <f>VLOOKUP(D244,[1]Comunas!$A:$E,5,0)</f>
        <v>Cauca</v>
      </c>
      <c r="F244" s="7" t="str">
        <f t="shared" si="7"/>
        <v>CaucaPOPAYAN</v>
      </c>
      <c r="G244" s="2" t="str">
        <f>VLOOKUP(F244,'[2]CLUSTER_MUNICIPIOS tarifas'!$D:$E,2,0)</f>
        <v>Moderado</v>
      </c>
      <c r="H244" s="2">
        <f>VLOOKUP(F244,'[3]CLUSTER_MUNICIPIOS tarifas'!$D:$F,3,0)</f>
        <v>19001</v>
      </c>
      <c r="I244" s="2" t="s">
        <v>265</v>
      </c>
      <c r="J244" s="18" t="s">
        <v>7</v>
      </c>
      <c r="K244" s="8" t="s">
        <v>22</v>
      </c>
      <c r="L244" s="8" t="s">
        <v>23</v>
      </c>
      <c r="M244" s="5"/>
      <c r="N244" s="2"/>
      <c r="O244" s="2"/>
      <c r="P244" s="2"/>
      <c r="Q244" s="2">
        <v>1</v>
      </c>
      <c r="R244" s="2">
        <v>3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>
        <f t="shared" si="8"/>
        <v>4</v>
      </c>
    </row>
    <row r="245" spans="1:29" x14ac:dyDescent="0.2">
      <c r="A245" s="2" t="s">
        <v>359</v>
      </c>
      <c r="B245" s="2" t="s">
        <v>19</v>
      </c>
      <c r="C245" s="27">
        <v>1</v>
      </c>
      <c r="D245" s="2" t="s">
        <v>20</v>
      </c>
      <c r="E245" s="2" t="str">
        <f>VLOOKUP(D245,[1]Comunas!$A:$E,5,0)</f>
        <v>Cauca</v>
      </c>
      <c r="F245" s="7" t="str">
        <f t="shared" si="7"/>
        <v>CaucaPOPAYAN</v>
      </c>
      <c r="G245" s="2" t="str">
        <f>VLOOKUP(F245,'[2]CLUSTER_MUNICIPIOS tarifas'!$D:$E,2,0)</f>
        <v>Moderado</v>
      </c>
      <c r="H245" s="2">
        <f>VLOOKUP(F245,'[3]CLUSTER_MUNICIPIOS tarifas'!$D:$F,3,0)</f>
        <v>19001</v>
      </c>
      <c r="I245" s="2" t="s">
        <v>266</v>
      </c>
      <c r="J245" s="18" t="s">
        <v>7</v>
      </c>
      <c r="K245" s="8" t="s">
        <v>22</v>
      </c>
      <c r="L245" s="8" t="s">
        <v>23</v>
      </c>
      <c r="M245" s="5"/>
      <c r="N245" s="2"/>
      <c r="O245" s="2"/>
      <c r="P245" s="2"/>
      <c r="Q245" s="2">
        <v>1</v>
      </c>
      <c r="R245" s="2">
        <v>3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>
        <f t="shared" si="8"/>
        <v>4</v>
      </c>
    </row>
    <row r="246" spans="1:29" x14ac:dyDescent="0.2">
      <c r="A246" s="2" t="s">
        <v>359</v>
      </c>
      <c r="B246" s="2" t="s">
        <v>19</v>
      </c>
      <c r="C246" s="27">
        <v>1</v>
      </c>
      <c r="D246" s="2" t="s">
        <v>20</v>
      </c>
      <c r="E246" s="2" t="str">
        <f>VLOOKUP(D246,[1]Comunas!$A:$E,5,0)</f>
        <v>Cauca</v>
      </c>
      <c r="F246" s="7" t="str">
        <f t="shared" si="7"/>
        <v>CaucaPOPAYAN</v>
      </c>
      <c r="G246" s="2" t="str">
        <f>VLOOKUP(F246,'[2]CLUSTER_MUNICIPIOS tarifas'!$D:$E,2,0)</f>
        <v>Moderado</v>
      </c>
      <c r="H246" s="2">
        <f>VLOOKUP(F246,'[3]CLUSTER_MUNICIPIOS tarifas'!$D:$F,3,0)</f>
        <v>19001</v>
      </c>
      <c r="I246" s="2" t="s">
        <v>267</v>
      </c>
      <c r="J246" s="18" t="s">
        <v>7</v>
      </c>
      <c r="K246" s="8" t="s">
        <v>22</v>
      </c>
      <c r="L246" s="8" t="s">
        <v>23</v>
      </c>
      <c r="M246" s="5"/>
      <c r="N246" s="2">
        <v>2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>
        <f t="shared" si="8"/>
        <v>2</v>
      </c>
    </row>
    <row r="247" spans="1:29" x14ac:dyDescent="0.2">
      <c r="A247" s="2" t="s">
        <v>359</v>
      </c>
      <c r="B247" s="2" t="s">
        <v>19</v>
      </c>
      <c r="C247" s="27">
        <v>1</v>
      </c>
      <c r="D247" s="2" t="s">
        <v>20</v>
      </c>
      <c r="E247" s="2" t="str">
        <f>VLOOKUP(D247,[1]Comunas!$A:$E,5,0)</f>
        <v>Cauca</v>
      </c>
      <c r="F247" s="7" t="str">
        <f t="shared" si="7"/>
        <v>CaucaPOPAYAN</v>
      </c>
      <c r="G247" s="2" t="str">
        <f>VLOOKUP(F247,'[2]CLUSTER_MUNICIPIOS tarifas'!$D:$E,2,0)</f>
        <v>Moderado</v>
      </c>
      <c r="H247" s="2">
        <f>VLOOKUP(F247,'[3]CLUSTER_MUNICIPIOS tarifas'!$D:$F,3,0)</f>
        <v>19001</v>
      </c>
      <c r="I247" s="2" t="s">
        <v>268</v>
      </c>
      <c r="J247" s="18" t="s">
        <v>7</v>
      </c>
      <c r="K247" s="8" t="s">
        <v>22</v>
      </c>
      <c r="L247" s="8" t="s">
        <v>23</v>
      </c>
      <c r="M247" s="5"/>
      <c r="N247" s="2"/>
      <c r="O247" s="2"/>
      <c r="P247" s="2"/>
      <c r="Q247" s="2">
        <v>2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>
        <f t="shared" si="8"/>
        <v>2</v>
      </c>
    </row>
    <row r="248" spans="1:29" x14ac:dyDescent="0.2">
      <c r="A248" s="2" t="s">
        <v>359</v>
      </c>
      <c r="B248" s="2" t="s">
        <v>19</v>
      </c>
      <c r="C248" s="27">
        <v>1</v>
      </c>
      <c r="D248" s="2" t="s">
        <v>20</v>
      </c>
      <c r="E248" s="2" t="str">
        <f>VLOOKUP(D248,[1]Comunas!$A:$E,5,0)</f>
        <v>Cauca</v>
      </c>
      <c r="F248" s="7" t="str">
        <f t="shared" si="7"/>
        <v>CaucaPOPAYAN</v>
      </c>
      <c r="G248" s="2" t="str">
        <f>VLOOKUP(F248,'[2]CLUSTER_MUNICIPIOS tarifas'!$D:$E,2,0)</f>
        <v>Moderado</v>
      </c>
      <c r="H248" s="2">
        <f>VLOOKUP(F248,'[3]CLUSTER_MUNICIPIOS tarifas'!$D:$F,3,0)</f>
        <v>19001</v>
      </c>
      <c r="I248" s="2" t="s">
        <v>269</v>
      </c>
      <c r="J248" s="18" t="s">
        <v>7</v>
      </c>
      <c r="K248" s="8" t="s">
        <v>22</v>
      </c>
      <c r="L248" s="8" t="s">
        <v>23</v>
      </c>
      <c r="M248" s="5"/>
      <c r="N248" s="2"/>
      <c r="O248" s="2"/>
      <c r="P248" s="2"/>
      <c r="Q248" s="2"/>
      <c r="R248" s="2">
        <v>1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>
        <f t="shared" si="8"/>
        <v>1</v>
      </c>
    </row>
    <row r="249" spans="1:29" x14ac:dyDescent="0.2">
      <c r="A249" s="2" t="s">
        <v>359</v>
      </c>
      <c r="B249" s="2" t="s">
        <v>19</v>
      </c>
      <c r="C249" s="27">
        <v>1</v>
      </c>
      <c r="D249" s="2" t="s">
        <v>20</v>
      </c>
      <c r="E249" s="2" t="str">
        <f>VLOOKUP(D249,[1]Comunas!$A:$E,5,0)</f>
        <v>Cauca</v>
      </c>
      <c r="F249" s="7" t="str">
        <f t="shared" si="7"/>
        <v>CaucaPOPAYAN</v>
      </c>
      <c r="G249" s="2" t="str">
        <f>VLOOKUP(F249,'[2]CLUSTER_MUNICIPIOS tarifas'!$D:$E,2,0)</f>
        <v>Moderado</v>
      </c>
      <c r="H249" s="2">
        <f>VLOOKUP(F249,'[3]CLUSTER_MUNICIPIOS tarifas'!$D:$F,3,0)</f>
        <v>19001</v>
      </c>
      <c r="I249" s="2" t="s">
        <v>270</v>
      </c>
      <c r="J249" s="18" t="s">
        <v>7</v>
      </c>
      <c r="K249" s="8" t="s">
        <v>22</v>
      </c>
      <c r="L249" s="8" t="s">
        <v>23</v>
      </c>
      <c r="M249" s="5"/>
      <c r="N249" s="2"/>
      <c r="O249" s="2"/>
      <c r="P249" s="2"/>
      <c r="Q249" s="2">
        <v>2</v>
      </c>
      <c r="R249" s="2">
        <v>2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>
        <f t="shared" si="8"/>
        <v>4</v>
      </c>
    </row>
    <row r="250" spans="1:29" x14ac:dyDescent="0.2">
      <c r="A250" s="2" t="s">
        <v>359</v>
      </c>
      <c r="B250" s="2" t="s">
        <v>19</v>
      </c>
      <c r="C250" s="27">
        <v>1</v>
      </c>
      <c r="D250" s="2" t="s">
        <v>20</v>
      </c>
      <c r="E250" s="2" t="str">
        <f>VLOOKUP(D250,[1]Comunas!$A:$E,5,0)</f>
        <v>Cauca</v>
      </c>
      <c r="F250" s="7" t="str">
        <f t="shared" si="7"/>
        <v>CaucaPOPAYAN</v>
      </c>
      <c r="G250" s="2" t="str">
        <f>VLOOKUP(F250,'[2]CLUSTER_MUNICIPIOS tarifas'!$D:$E,2,0)</f>
        <v>Moderado</v>
      </c>
      <c r="H250" s="2">
        <f>VLOOKUP(F250,'[3]CLUSTER_MUNICIPIOS tarifas'!$D:$F,3,0)</f>
        <v>19001</v>
      </c>
      <c r="I250" s="2" t="s">
        <v>271</v>
      </c>
      <c r="J250" s="18" t="s">
        <v>7</v>
      </c>
      <c r="K250" s="8" t="s">
        <v>22</v>
      </c>
      <c r="L250" s="8" t="s">
        <v>23</v>
      </c>
      <c r="M250" s="5"/>
      <c r="N250" s="2">
        <v>3</v>
      </c>
      <c r="O250" s="2"/>
      <c r="P250" s="2"/>
      <c r="Q250" s="2"/>
      <c r="R250" s="2">
        <v>2</v>
      </c>
      <c r="S250" s="2"/>
      <c r="T250" s="2"/>
      <c r="U250" s="2"/>
      <c r="V250" s="2"/>
      <c r="W250" s="2"/>
      <c r="X250" s="2"/>
      <c r="Y250" s="2"/>
      <c r="Z250" s="2"/>
      <c r="AA250" s="2"/>
      <c r="AB250" s="2">
        <v>7</v>
      </c>
      <c r="AC250" s="2">
        <f t="shared" si="8"/>
        <v>5</v>
      </c>
    </row>
    <row r="251" spans="1:29" x14ac:dyDescent="0.2">
      <c r="A251" s="2" t="s">
        <v>359</v>
      </c>
      <c r="B251" s="2" t="s">
        <v>19</v>
      </c>
      <c r="C251" s="27">
        <v>1</v>
      </c>
      <c r="D251" s="2" t="s">
        <v>108</v>
      </c>
      <c r="E251" s="2" t="str">
        <f>VLOOKUP(D251,[1]Comunas!$A:$E,5,0)</f>
        <v>Cauca</v>
      </c>
      <c r="F251" s="7" t="str">
        <f t="shared" si="7"/>
        <v>CaucaSANTANDER DE QUILICHAO</v>
      </c>
      <c r="G251" s="2" t="str">
        <f>VLOOKUP(F251,'[2]CLUSTER_MUNICIPIOS tarifas'!$D:$E,2,0)</f>
        <v>Moderado</v>
      </c>
      <c r="H251" s="2">
        <f>VLOOKUP(F251,'[3]CLUSTER_MUNICIPIOS tarifas'!$D:$F,3,0)</f>
        <v>19698</v>
      </c>
      <c r="I251" s="2" t="s">
        <v>272</v>
      </c>
      <c r="J251" s="18" t="s">
        <v>7</v>
      </c>
      <c r="K251" s="8" t="s">
        <v>22</v>
      </c>
      <c r="L251" s="8" t="s">
        <v>23</v>
      </c>
      <c r="M251" s="5"/>
      <c r="N251" s="2">
        <v>7</v>
      </c>
      <c r="O251" s="2">
        <v>2</v>
      </c>
      <c r="P251" s="2"/>
      <c r="Q251" s="2">
        <v>5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>
        <v>8</v>
      </c>
      <c r="AC251" s="2">
        <f t="shared" si="8"/>
        <v>14</v>
      </c>
    </row>
    <row r="252" spans="1:29" x14ac:dyDescent="0.2">
      <c r="A252" s="2" t="s">
        <v>359</v>
      </c>
      <c r="B252" s="2" t="s">
        <v>19</v>
      </c>
      <c r="C252" s="27">
        <v>1</v>
      </c>
      <c r="D252" s="2" t="s">
        <v>108</v>
      </c>
      <c r="E252" s="2" t="str">
        <f>VLOOKUP(D252,[1]Comunas!$A:$E,5,0)</f>
        <v>Cauca</v>
      </c>
      <c r="F252" s="7" t="str">
        <f t="shared" si="7"/>
        <v>CaucaSANTANDER DE QUILICHAO</v>
      </c>
      <c r="G252" s="2" t="str">
        <f>VLOOKUP(F252,'[2]CLUSTER_MUNICIPIOS tarifas'!$D:$E,2,0)</f>
        <v>Moderado</v>
      </c>
      <c r="H252" s="2">
        <f>VLOOKUP(F252,'[3]CLUSTER_MUNICIPIOS tarifas'!$D:$F,3,0)</f>
        <v>19698</v>
      </c>
      <c r="I252" s="2" t="s">
        <v>273</v>
      </c>
      <c r="J252" s="18" t="s">
        <v>7</v>
      </c>
      <c r="K252" s="8" t="s">
        <v>22</v>
      </c>
      <c r="L252" s="8" t="s">
        <v>23</v>
      </c>
      <c r="M252" s="5"/>
      <c r="N252" s="2">
        <v>7</v>
      </c>
      <c r="O252" s="2">
        <v>1</v>
      </c>
      <c r="P252" s="2"/>
      <c r="Q252" s="2">
        <v>1</v>
      </c>
      <c r="R252" s="2">
        <v>2</v>
      </c>
      <c r="S252" s="2"/>
      <c r="T252" s="2"/>
      <c r="U252" s="2"/>
      <c r="V252" s="2"/>
      <c r="W252" s="2"/>
      <c r="X252" s="2"/>
      <c r="Y252" s="2"/>
      <c r="Z252" s="2"/>
      <c r="AA252" s="2"/>
      <c r="AB252" s="2">
        <v>10</v>
      </c>
      <c r="AC252" s="2">
        <f t="shared" si="8"/>
        <v>11</v>
      </c>
    </row>
    <row r="253" spans="1:29" x14ac:dyDescent="0.2">
      <c r="A253" s="2" t="s">
        <v>359</v>
      </c>
      <c r="B253" s="2" t="s">
        <v>19</v>
      </c>
      <c r="C253" s="27">
        <v>1</v>
      </c>
      <c r="D253" s="2" t="s">
        <v>20</v>
      </c>
      <c r="E253" s="2" t="str">
        <f>VLOOKUP(D253,[1]Comunas!$A:$E,5,0)</f>
        <v>Cauca</v>
      </c>
      <c r="F253" s="7" t="str">
        <f t="shared" si="7"/>
        <v>CaucaPOPAYAN</v>
      </c>
      <c r="G253" s="2" t="str">
        <f>VLOOKUP(F253,'[2]CLUSTER_MUNICIPIOS tarifas'!$D:$E,2,0)</f>
        <v>Moderado</v>
      </c>
      <c r="H253" s="2">
        <f>VLOOKUP(F253,'[3]CLUSTER_MUNICIPIOS tarifas'!$D:$F,3,0)</f>
        <v>19001</v>
      </c>
      <c r="I253" s="2" t="s">
        <v>274</v>
      </c>
      <c r="J253" s="18" t="s">
        <v>8</v>
      </c>
      <c r="K253" s="8" t="s">
        <v>22</v>
      </c>
      <c r="L253" s="8" t="s">
        <v>23</v>
      </c>
      <c r="M253" s="5"/>
      <c r="N253" s="2"/>
      <c r="O253" s="2"/>
      <c r="P253" s="2"/>
      <c r="Q253" s="2"/>
      <c r="R253" s="2">
        <v>3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>
        <f t="shared" si="8"/>
        <v>3</v>
      </c>
    </row>
    <row r="254" spans="1:29" x14ac:dyDescent="0.2">
      <c r="A254" s="2" t="s">
        <v>359</v>
      </c>
      <c r="B254" s="2" t="s">
        <v>19</v>
      </c>
      <c r="C254" s="27">
        <v>1</v>
      </c>
      <c r="D254" s="2" t="s">
        <v>20</v>
      </c>
      <c r="E254" s="2" t="str">
        <f>VLOOKUP(D254,[1]Comunas!$A:$E,5,0)</f>
        <v>Cauca</v>
      </c>
      <c r="F254" s="7" t="str">
        <f t="shared" si="7"/>
        <v>CaucaPOPAYAN</v>
      </c>
      <c r="G254" s="2" t="str">
        <f>VLOOKUP(F254,'[2]CLUSTER_MUNICIPIOS tarifas'!$D:$E,2,0)</f>
        <v>Moderado</v>
      </c>
      <c r="H254" s="2">
        <f>VLOOKUP(F254,'[3]CLUSTER_MUNICIPIOS tarifas'!$D:$F,3,0)</f>
        <v>19001</v>
      </c>
      <c r="I254" s="2" t="s">
        <v>275</v>
      </c>
      <c r="J254" s="18" t="s">
        <v>8</v>
      </c>
      <c r="K254" s="8" t="s">
        <v>22</v>
      </c>
      <c r="L254" s="8" t="s">
        <v>23</v>
      </c>
      <c r="M254" s="5"/>
      <c r="N254" s="2"/>
      <c r="O254" s="2">
        <v>1</v>
      </c>
      <c r="P254" s="2"/>
      <c r="Q254" s="2">
        <v>1</v>
      </c>
      <c r="R254" s="2">
        <v>1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>
        <f t="shared" si="8"/>
        <v>3</v>
      </c>
    </row>
    <row r="255" spans="1:29" x14ac:dyDescent="0.2">
      <c r="A255" s="2" t="s">
        <v>359</v>
      </c>
      <c r="B255" s="2" t="s">
        <v>19</v>
      </c>
      <c r="C255" s="27">
        <v>1</v>
      </c>
      <c r="D255" s="2" t="s">
        <v>20</v>
      </c>
      <c r="E255" s="2" t="str">
        <f>VLOOKUP(D255,[1]Comunas!$A:$E,5,0)</f>
        <v>Cauca</v>
      </c>
      <c r="F255" s="7" t="str">
        <f t="shared" si="7"/>
        <v>CaucaPOPAYAN</v>
      </c>
      <c r="G255" s="2" t="str">
        <f>VLOOKUP(F255,'[2]CLUSTER_MUNICIPIOS tarifas'!$D:$E,2,0)</f>
        <v>Moderado</v>
      </c>
      <c r="H255" s="2">
        <f>VLOOKUP(F255,'[3]CLUSTER_MUNICIPIOS tarifas'!$D:$F,3,0)</f>
        <v>19001</v>
      </c>
      <c r="I255" s="2" t="s">
        <v>276</v>
      </c>
      <c r="J255" s="18" t="s">
        <v>8</v>
      </c>
      <c r="K255" s="8" t="s">
        <v>22</v>
      </c>
      <c r="L255" s="8" t="s">
        <v>23</v>
      </c>
      <c r="M255" s="5"/>
      <c r="N255" s="2"/>
      <c r="O255" s="2"/>
      <c r="P255" s="2"/>
      <c r="Q255" s="2"/>
      <c r="R255" s="2">
        <v>3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>
        <f t="shared" si="8"/>
        <v>3</v>
      </c>
    </row>
    <row r="256" spans="1:29" x14ac:dyDescent="0.2">
      <c r="A256" s="2" t="s">
        <v>359</v>
      </c>
      <c r="B256" s="2" t="s">
        <v>19</v>
      </c>
      <c r="C256" s="27">
        <v>1</v>
      </c>
      <c r="D256" s="2" t="s">
        <v>20</v>
      </c>
      <c r="E256" s="2" t="str">
        <f>VLOOKUP(D256,[1]Comunas!$A:$E,5,0)</f>
        <v>Cauca</v>
      </c>
      <c r="F256" s="7" t="str">
        <f t="shared" si="7"/>
        <v>CaucaPOPAYAN</v>
      </c>
      <c r="G256" s="2" t="str">
        <f>VLOOKUP(F256,'[2]CLUSTER_MUNICIPIOS tarifas'!$D:$E,2,0)</f>
        <v>Moderado</v>
      </c>
      <c r="H256" s="2">
        <f>VLOOKUP(F256,'[3]CLUSTER_MUNICIPIOS tarifas'!$D:$F,3,0)</f>
        <v>19001</v>
      </c>
      <c r="I256" s="2" t="s">
        <v>277</v>
      </c>
      <c r="J256" s="18" t="s">
        <v>8</v>
      </c>
      <c r="K256" s="8" t="s">
        <v>22</v>
      </c>
      <c r="L256" s="8" t="s">
        <v>23</v>
      </c>
      <c r="M256" s="5"/>
      <c r="N256" s="2"/>
      <c r="O256" s="2"/>
      <c r="P256" s="2"/>
      <c r="Q256" s="2"/>
      <c r="R256" s="2">
        <v>1</v>
      </c>
      <c r="S256" s="2"/>
      <c r="T256" s="2"/>
      <c r="U256" s="2"/>
      <c r="V256" s="2"/>
      <c r="W256" s="2"/>
      <c r="X256" s="2"/>
      <c r="Y256" s="2"/>
      <c r="Z256" s="2"/>
      <c r="AA256" s="2"/>
      <c r="AB256" s="2">
        <v>200</v>
      </c>
      <c r="AC256" s="2">
        <f t="shared" si="8"/>
        <v>1</v>
      </c>
    </row>
    <row r="257" spans="1:29" x14ac:dyDescent="0.2">
      <c r="A257" s="2" t="s">
        <v>359</v>
      </c>
      <c r="B257" s="2" t="s">
        <v>19</v>
      </c>
      <c r="C257" s="27">
        <v>1</v>
      </c>
      <c r="D257" s="2" t="s">
        <v>20</v>
      </c>
      <c r="E257" s="2" t="str">
        <f>VLOOKUP(D257,[1]Comunas!$A:$E,5,0)</f>
        <v>Cauca</v>
      </c>
      <c r="F257" s="7" t="str">
        <f t="shared" si="7"/>
        <v>CaucaPOPAYAN</v>
      </c>
      <c r="G257" s="2" t="str">
        <f>VLOOKUP(F257,'[2]CLUSTER_MUNICIPIOS tarifas'!$D:$E,2,0)</f>
        <v>Moderado</v>
      </c>
      <c r="H257" s="2">
        <f>VLOOKUP(F257,'[3]CLUSTER_MUNICIPIOS tarifas'!$D:$F,3,0)</f>
        <v>19001</v>
      </c>
      <c r="I257" s="2" t="s">
        <v>278</v>
      </c>
      <c r="J257" s="18" t="s">
        <v>8</v>
      </c>
      <c r="K257" s="8" t="s">
        <v>22</v>
      </c>
      <c r="L257" s="8" t="s">
        <v>23</v>
      </c>
      <c r="M257" s="5"/>
      <c r="N257" s="2">
        <v>20</v>
      </c>
      <c r="O257" s="2">
        <v>4</v>
      </c>
      <c r="P257" s="2">
        <v>3</v>
      </c>
      <c r="Q257" s="2">
        <v>11</v>
      </c>
      <c r="R257" s="2">
        <v>14</v>
      </c>
      <c r="S257" s="2"/>
      <c r="T257" s="2">
        <v>2</v>
      </c>
      <c r="U257" s="2"/>
      <c r="V257" s="2"/>
      <c r="W257" s="2"/>
      <c r="X257" s="2"/>
      <c r="Y257" s="2"/>
      <c r="Z257" s="2"/>
      <c r="AA257" s="2"/>
      <c r="AB257" s="2"/>
      <c r="AC257" s="2">
        <f t="shared" si="8"/>
        <v>54</v>
      </c>
    </row>
    <row r="258" spans="1:29" x14ac:dyDescent="0.2">
      <c r="A258" s="2" t="s">
        <v>359</v>
      </c>
      <c r="B258" s="2" t="s">
        <v>19</v>
      </c>
      <c r="C258" s="27">
        <v>1</v>
      </c>
      <c r="D258" s="2" t="s">
        <v>20</v>
      </c>
      <c r="E258" s="2" t="str">
        <f>VLOOKUP(D258,[1]Comunas!$A:$E,5,0)</f>
        <v>Cauca</v>
      </c>
      <c r="F258" s="7" t="str">
        <f t="shared" ref="F258:F268" si="9">CONCATENATE(E258,D258)</f>
        <v>CaucaPOPAYAN</v>
      </c>
      <c r="G258" s="2" t="str">
        <f>VLOOKUP(F258,'[2]CLUSTER_MUNICIPIOS tarifas'!$D:$E,2,0)</f>
        <v>Moderado</v>
      </c>
      <c r="H258" s="2">
        <f>VLOOKUP(F258,'[3]CLUSTER_MUNICIPIOS tarifas'!$D:$F,3,0)</f>
        <v>19001</v>
      </c>
      <c r="I258" s="2" t="s">
        <v>279</v>
      </c>
      <c r="J258" s="18" t="s">
        <v>8</v>
      </c>
      <c r="K258" s="8" t="s">
        <v>22</v>
      </c>
      <c r="L258" s="8" t="s">
        <v>23</v>
      </c>
      <c r="M258" s="5"/>
      <c r="N258" s="2"/>
      <c r="O258" s="2"/>
      <c r="P258" s="2"/>
      <c r="Q258" s="2"/>
      <c r="R258" s="2">
        <v>1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>
        <f t="shared" si="8"/>
        <v>1</v>
      </c>
    </row>
    <row r="259" spans="1:29" x14ac:dyDescent="0.2">
      <c r="A259" s="2" t="s">
        <v>359</v>
      </c>
      <c r="B259" s="2" t="s">
        <v>19</v>
      </c>
      <c r="C259" s="27">
        <v>1</v>
      </c>
      <c r="D259" s="2" t="s">
        <v>20</v>
      </c>
      <c r="E259" s="2" t="str">
        <f>VLOOKUP(D259,[1]Comunas!$A:$E,5,0)</f>
        <v>Cauca</v>
      </c>
      <c r="F259" s="7" t="str">
        <f t="shared" si="9"/>
        <v>CaucaPOPAYAN</v>
      </c>
      <c r="G259" s="2" t="str">
        <f>VLOOKUP(F259,'[2]CLUSTER_MUNICIPIOS tarifas'!$D:$E,2,0)</f>
        <v>Moderado</v>
      </c>
      <c r="H259" s="2">
        <f>VLOOKUP(F259,'[3]CLUSTER_MUNICIPIOS tarifas'!$D:$F,3,0)</f>
        <v>19001</v>
      </c>
      <c r="I259" s="2" t="s">
        <v>280</v>
      </c>
      <c r="J259" s="18" t="s">
        <v>8</v>
      </c>
      <c r="K259" s="8" t="s">
        <v>22</v>
      </c>
      <c r="L259" s="8" t="s">
        <v>23</v>
      </c>
      <c r="M259" s="5"/>
      <c r="N259" s="2"/>
      <c r="O259" s="2"/>
      <c r="P259" s="2"/>
      <c r="Q259" s="2"/>
      <c r="R259" s="2">
        <v>2</v>
      </c>
      <c r="S259" s="2"/>
      <c r="T259" s="2"/>
      <c r="U259" s="2"/>
      <c r="V259" s="2"/>
      <c r="W259" s="2"/>
      <c r="X259" s="2"/>
      <c r="Y259" s="2"/>
      <c r="Z259" s="2"/>
      <c r="AA259" s="2"/>
      <c r="AB259" s="2">
        <v>20</v>
      </c>
      <c r="AC259" s="2">
        <f t="shared" ref="AC259:AC322" si="10">SUM(N259:Z259)</f>
        <v>2</v>
      </c>
    </row>
    <row r="260" spans="1:29" x14ac:dyDescent="0.2">
      <c r="A260" s="2" t="s">
        <v>359</v>
      </c>
      <c r="B260" s="2" t="s">
        <v>19</v>
      </c>
      <c r="C260" s="27">
        <v>1</v>
      </c>
      <c r="D260" s="2" t="s">
        <v>20</v>
      </c>
      <c r="E260" s="2" t="str">
        <f>VLOOKUP(D260,[1]Comunas!$A:$E,5,0)</f>
        <v>Cauca</v>
      </c>
      <c r="F260" s="7" t="str">
        <f t="shared" si="9"/>
        <v>CaucaPOPAYAN</v>
      </c>
      <c r="G260" s="2" t="str">
        <f>VLOOKUP(F260,'[2]CLUSTER_MUNICIPIOS tarifas'!$D:$E,2,0)</f>
        <v>Moderado</v>
      </c>
      <c r="H260" s="2">
        <f>VLOOKUP(F260,'[3]CLUSTER_MUNICIPIOS tarifas'!$D:$F,3,0)</f>
        <v>19001</v>
      </c>
      <c r="I260" s="2" t="s">
        <v>281</v>
      </c>
      <c r="J260" s="18" t="s">
        <v>8</v>
      </c>
      <c r="K260" s="8" t="s">
        <v>22</v>
      </c>
      <c r="L260" s="8" t="s">
        <v>23</v>
      </c>
      <c r="M260" s="5"/>
      <c r="N260" s="2"/>
      <c r="O260" s="2"/>
      <c r="P260" s="2"/>
      <c r="Q260" s="2">
        <v>2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>
        <f t="shared" si="10"/>
        <v>2</v>
      </c>
    </row>
    <row r="261" spans="1:29" x14ac:dyDescent="0.2">
      <c r="A261" s="2" t="s">
        <v>359</v>
      </c>
      <c r="B261" s="2" t="s">
        <v>19</v>
      </c>
      <c r="C261" s="27">
        <v>1</v>
      </c>
      <c r="D261" s="2" t="s">
        <v>20</v>
      </c>
      <c r="E261" s="2" t="str">
        <f>VLOOKUP(D261,[1]Comunas!$A:$E,5,0)</f>
        <v>Cauca</v>
      </c>
      <c r="F261" s="7" t="str">
        <f t="shared" si="9"/>
        <v>CaucaPOPAYAN</v>
      </c>
      <c r="G261" s="2" t="str">
        <f>VLOOKUP(F261,'[2]CLUSTER_MUNICIPIOS tarifas'!$D:$E,2,0)</f>
        <v>Moderado</v>
      </c>
      <c r="H261" s="2">
        <f>VLOOKUP(F261,'[3]CLUSTER_MUNICIPIOS tarifas'!$D:$F,3,0)</f>
        <v>19001</v>
      </c>
      <c r="I261" s="2" t="s">
        <v>282</v>
      </c>
      <c r="J261" s="18" t="s">
        <v>8</v>
      </c>
      <c r="K261" s="8" t="s">
        <v>22</v>
      </c>
      <c r="L261" s="8" t="s">
        <v>23</v>
      </c>
      <c r="M261" s="5"/>
      <c r="N261" s="2"/>
      <c r="O261" s="2"/>
      <c r="P261" s="2"/>
      <c r="Q261" s="2"/>
      <c r="R261" s="2">
        <v>1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>
        <f t="shared" si="10"/>
        <v>1</v>
      </c>
    </row>
    <row r="262" spans="1:29" x14ac:dyDescent="0.2">
      <c r="A262" s="2" t="s">
        <v>359</v>
      </c>
      <c r="B262" s="2" t="s">
        <v>19</v>
      </c>
      <c r="C262" s="27">
        <v>1</v>
      </c>
      <c r="D262" s="2" t="s">
        <v>20</v>
      </c>
      <c r="E262" s="2" t="str">
        <f>VLOOKUP(D262,[1]Comunas!$A:$E,5,0)</f>
        <v>Cauca</v>
      </c>
      <c r="F262" s="7" t="str">
        <f t="shared" si="9"/>
        <v>CaucaPOPAYAN</v>
      </c>
      <c r="G262" s="2" t="str">
        <f>VLOOKUP(F262,'[2]CLUSTER_MUNICIPIOS tarifas'!$D:$E,2,0)</f>
        <v>Moderado</v>
      </c>
      <c r="H262" s="2">
        <f>VLOOKUP(F262,'[3]CLUSTER_MUNICIPIOS tarifas'!$D:$F,3,0)</f>
        <v>19001</v>
      </c>
      <c r="I262" s="2" t="s">
        <v>283</v>
      </c>
      <c r="J262" s="18" t="s">
        <v>8</v>
      </c>
      <c r="K262" s="8" t="s">
        <v>22</v>
      </c>
      <c r="L262" s="8" t="s">
        <v>23</v>
      </c>
      <c r="M262" s="5"/>
      <c r="N262" s="2">
        <v>1</v>
      </c>
      <c r="O262" s="2"/>
      <c r="P262" s="2"/>
      <c r="Q262" s="2"/>
      <c r="R262" s="2">
        <v>3</v>
      </c>
      <c r="S262" s="2"/>
      <c r="T262" s="2"/>
      <c r="U262" s="2"/>
      <c r="V262" s="2"/>
      <c r="W262" s="2"/>
      <c r="X262" s="2"/>
      <c r="Y262" s="2"/>
      <c r="Z262" s="2"/>
      <c r="AA262" s="2"/>
      <c r="AB262" s="2">
        <v>40</v>
      </c>
      <c r="AC262" s="2">
        <f t="shared" si="10"/>
        <v>4</v>
      </c>
    </row>
    <row r="263" spans="1:29" x14ac:dyDescent="0.2">
      <c r="A263" s="2" t="s">
        <v>359</v>
      </c>
      <c r="B263" s="2" t="s">
        <v>19</v>
      </c>
      <c r="C263" s="27">
        <v>1</v>
      </c>
      <c r="D263" s="2" t="s">
        <v>108</v>
      </c>
      <c r="E263" s="2" t="str">
        <f>VLOOKUP(D263,[1]Comunas!$A:$E,5,0)</f>
        <v>Cauca</v>
      </c>
      <c r="F263" s="7" t="str">
        <f t="shared" si="9"/>
        <v>CaucaSANTANDER DE QUILICHAO</v>
      </c>
      <c r="G263" s="2" t="str">
        <f>VLOOKUP(F263,'[2]CLUSTER_MUNICIPIOS tarifas'!$D:$E,2,0)</f>
        <v>Moderado</v>
      </c>
      <c r="H263" s="2">
        <f>VLOOKUP(F263,'[3]CLUSTER_MUNICIPIOS tarifas'!$D:$F,3,0)</f>
        <v>19698</v>
      </c>
      <c r="I263" s="2" t="s">
        <v>284</v>
      </c>
      <c r="J263" s="18" t="s">
        <v>8</v>
      </c>
      <c r="K263" s="8" t="s">
        <v>22</v>
      </c>
      <c r="L263" s="8" t="s">
        <v>23</v>
      </c>
      <c r="M263" s="5"/>
      <c r="N263" s="2">
        <v>14</v>
      </c>
      <c r="O263" s="2">
        <v>13</v>
      </c>
      <c r="P263" s="2"/>
      <c r="Q263" s="2">
        <v>3</v>
      </c>
      <c r="R263" s="2">
        <v>8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>
        <f t="shared" si="10"/>
        <v>38</v>
      </c>
    </row>
    <row r="264" spans="1:29" x14ac:dyDescent="0.2">
      <c r="A264" s="2" t="s">
        <v>359</v>
      </c>
      <c r="B264" s="2" t="s">
        <v>19</v>
      </c>
      <c r="C264" s="27">
        <v>1</v>
      </c>
      <c r="D264" s="2" t="s">
        <v>108</v>
      </c>
      <c r="E264" s="2" t="str">
        <f>VLOOKUP(D264,[1]Comunas!$A:$E,5,0)</f>
        <v>Cauca</v>
      </c>
      <c r="F264" s="7" t="str">
        <f t="shared" si="9"/>
        <v>CaucaSANTANDER DE QUILICHAO</v>
      </c>
      <c r="G264" s="2" t="str">
        <f>VLOOKUP(F264,'[2]CLUSTER_MUNICIPIOS tarifas'!$D:$E,2,0)</f>
        <v>Moderado</v>
      </c>
      <c r="H264" s="2">
        <f>VLOOKUP(F264,'[3]CLUSTER_MUNICIPIOS tarifas'!$D:$F,3,0)</f>
        <v>19698</v>
      </c>
      <c r="I264" s="2" t="s">
        <v>285</v>
      </c>
      <c r="J264" s="18" t="s">
        <v>8</v>
      </c>
      <c r="K264" s="8" t="s">
        <v>22</v>
      </c>
      <c r="L264" s="8" t="s">
        <v>23</v>
      </c>
      <c r="M264" s="5"/>
      <c r="N264" s="2">
        <v>4</v>
      </c>
      <c r="O264" s="2">
        <v>41</v>
      </c>
      <c r="P264" s="2">
        <v>1</v>
      </c>
      <c r="Q264" s="2">
        <v>3</v>
      </c>
      <c r="R264" s="2">
        <v>13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>
        <f t="shared" si="10"/>
        <v>62</v>
      </c>
    </row>
    <row r="265" spans="1:29" x14ac:dyDescent="0.2">
      <c r="A265" s="2" t="s">
        <v>359</v>
      </c>
      <c r="B265" s="2" t="s">
        <v>19</v>
      </c>
      <c r="C265" s="27">
        <v>1</v>
      </c>
      <c r="D265" s="2" t="s">
        <v>108</v>
      </c>
      <c r="E265" s="2" t="str">
        <f>VLOOKUP(D265,[1]Comunas!$A:$E,5,0)</f>
        <v>Cauca</v>
      </c>
      <c r="F265" s="7" t="str">
        <f t="shared" si="9"/>
        <v>CaucaSANTANDER DE QUILICHAO</v>
      </c>
      <c r="G265" s="2" t="str">
        <f>VLOOKUP(F265,'[2]CLUSTER_MUNICIPIOS tarifas'!$D:$E,2,0)</f>
        <v>Moderado</v>
      </c>
      <c r="H265" s="2">
        <f>VLOOKUP(F265,'[3]CLUSTER_MUNICIPIOS tarifas'!$D:$F,3,0)</f>
        <v>19698</v>
      </c>
      <c r="I265" s="2" t="s">
        <v>286</v>
      </c>
      <c r="J265" s="18" t="s">
        <v>8</v>
      </c>
      <c r="K265" s="8" t="s">
        <v>22</v>
      </c>
      <c r="L265" s="8" t="s">
        <v>23</v>
      </c>
      <c r="M265" s="5"/>
      <c r="N265" s="2">
        <v>1</v>
      </c>
      <c r="O265" s="2">
        <v>58</v>
      </c>
      <c r="P265" s="2"/>
      <c r="Q265" s="2">
        <v>6</v>
      </c>
      <c r="R265" s="2">
        <v>4</v>
      </c>
      <c r="S265" s="2"/>
      <c r="T265" s="2"/>
      <c r="U265" s="2"/>
      <c r="V265" s="2"/>
      <c r="W265" s="2"/>
      <c r="X265" s="2"/>
      <c r="Y265" s="2"/>
      <c r="Z265" s="2"/>
      <c r="AA265" s="2"/>
      <c r="AB265" s="2">
        <v>60</v>
      </c>
      <c r="AC265" s="2">
        <f t="shared" si="10"/>
        <v>69</v>
      </c>
    </row>
    <row r="266" spans="1:29" x14ac:dyDescent="0.2">
      <c r="A266" s="2" t="s">
        <v>359</v>
      </c>
      <c r="B266" s="2" t="s">
        <v>19</v>
      </c>
      <c r="C266" s="27">
        <v>1</v>
      </c>
      <c r="D266" s="2" t="s">
        <v>108</v>
      </c>
      <c r="E266" s="2" t="str">
        <f>VLOOKUP(D266,[1]Comunas!$A:$E,5,0)</f>
        <v>Cauca</v>
      </c>
      <c r="F266" s="7" t="str">
        <f t="shared" si="9"/>
        <v>CaucaSANTANDER DE QUILICHAO</v>
      </c>
      <c r="G266" s="2" t="str">
        <f>VLOOKUP(F266,'[2]CLUSTER_MUNICIPIOS tarifas'!$D:$E,2,0)</f>
        <v>Moderado</v>
      </c>
      <c r="H266" s="2">
        <f>VLOOKUP(F266,'[3]CLUSTER_MUNICIPIOS tarifas'!$D:$F,3,0)</f>
        <v>19698</v>
      </c>
      <c r="I266" s="2" t="s">
        <v>287</v>
      </c>
      <c r="J266" s="18" t="s">
        <v>8</v>
      </c>
      <c r="K266" s="8" t="s">
        <v>22</v>
      </c>
      <c r="L266" s="8" t="s">
        <v>23</v>
      </c>
      <c r="M266" s="5"/>
      <c r="N266" s="2"/>
      <c r="O266" s="2">
        <v>34</v>
      </c>
      <c r="P266" s="2"/>
      <c r="Q266" s="2">
        <v>7</v>
      </c>
      <c r="R266" s="2">
        <v>12</v>
      </c>
      <c r="S266" s="2"/>
      <c r="T266" s="2">
        <v>1</v>
      </c>
      <c r="U266" s="2"/>
      <c r="V266" s="2"/>
      <c r="W266" s="2"/>
      <c r="X266" s="2"/>
      <c r="Y266" s="2"/>
      <c r="Z266" s="2"/>
      <c r="AA266" s="2"/>
      <c r="AB266" s="2"/>
      <c r="AC266" s="2">
        <f t="shared" si="10"/>
        <v>54</v>
      </c>
    </row>
    <row r="267" spans="1:29" x14ac:dyDescent="0.2">
      <c r="A267" s="2" t="s">
        <v>359</v>
      </c>
      <c r="B267" s="2" t="s">
        <v>19</v>
      </c>
      <c r="C267" s="27">
        <v>1</v>
      </c>
      <c r="D267" s="2" t="s">
        <v>20</v>
      </c>
      <c r="E267" s="2" t="str">
        <f>VLOOKUP(D267,[1]Comunas!$A:$E,5,0)</f>
        <v>Cauca</v>
      </c>
      <c r="F267" s="7" t="str">
        <f t="shared" si="9"/>
        <v>CaucaPOPAYAN</v>
      </c>
      <c r="G267" s="2" t="str">
        <f>VLOOKUP(F267,'[2]CLUSTER_MUNICIPIOS tarifas'!$D:$E,2,0)</f>
        <v>Moderado</v>
      </c>
      <c r="H267" s="2">
        <f>VLOOKUP(F267,'[3]CLUSTER_MUNICIPIOS tarifas'!$D:$F,3,0)</f>
        <v>19001</v>
      </c>
      <c r="I267" s="2" t="s">
        <v>116</v>
      </c>
      <c r="J267" s="18">
        <v>45323</v>
      </c>
      <c r="K267" s="8" t="s">
        <v>22</v>
      </c>
      <c r="L267" s="8" t="s">
        <v>288</v>
      </c>
      <c r="M267" s="5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>
        <v>15</v>
      </c>
      <c r="AC267" s="2">
        <f t="shared" si="10"/>
        <v>0</v>
      </c>
    </row>
    <row r="268" spans="1:29" x14ac:dyDescent="0.2">
      <c r="A268" s="2" t="s">
        <v>359</v>
      </c>
      <c r="B268" s="2" t="s">
        <v>19</v>
      </c>
      <c r="C268" s="27">
        <v>1</v>
      </c>
      <c r="D268" s="2" t="s">
        <v>20</v>
      </c>
      <c r="E268" s="2" t="str">
        <f>VLOOKUP(D268,[1]Comunas!$A:$E,5,0)</f>
        <v>Cauca</v>
      </c>
      <c r="F268" s="7" t="str">
        <f t="shared" si="9"/>
        <v>CaucaPOPAYAN</v>
      </c>
      <c r="G268" s="2" t="str">
        <f>VLOOKUP(F268,'[2]CLUSTER_MUNICIPIOS tarifas'!$D:$E,2,0)</f>
        <v>Moderado</v>
      </c>
      <c r="H268" s="2">
        <f>VLOOKUP(F268,'[3]CLUSTER_MUNICIPIOS tarifas'!$D:$F,3,0)</f>
        <v>19001</v>
      </c>
      <c r="I268" s="2" t="s">
        <v>173</v>
      </c>
      <c r="J268" s="18">
        <v>45323</v>
      </c>
      <c r="K268" s="8" t="s">
        <v>22</v>
      </c>
      <c r="L268" s="8" t="s">
        <v>288</v>
      </c>
      <c r="M268" s="5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>
        <v>50.5</v>
      </c>
      <c r="AC268" s="2">
        <f t="shared" si="10"/>
        <v>0</v>
      </c>
    </row>
    <row r="269" spans="1:29" x14ac:dyDescent="0.2">
      <c r="A269" s="2" t="s">
        <v>359</v>
      </c>
      <c r="B269" s="2" t="s">
        <v>19</v>
      </c>
      <c r="C269" s="27">
        <v>1</v>
      </c>
      <c r="D269" s="2" t="s">
        <v>20</v>
      </c>
      <c r="E269" s="2" t="str">
        <f>VLOOKUP(D269,[1]Comunas!$A:$E,5,0)</f>
        <v>Cauca</v>
      </c>
      <c r="F269" s="7" t="str">
        <f t="shared" ref="F269" si="11">CONCATENATE(E269,D269)</f>
        <v>CaucaPOPAYAN</v>
      </c>
      <c r="G269" s="2" t="str">
        <f>VLOOKUP(F269,'[2]CLUSTER_MUNICIPIOS tarifas'!$D:$E,2,0)</f>
        <v>Moderado</v>
      </c>
      <c r="H269" s="2">
        <f>VLOOKUP(F269,'[3]CLUSTER_MUNICIPIOS tarifas'!$D:$F,3,0)</f>
        <v>19001</v>
      </c>
      <c r="I269" s="2" t="s">
        <v>289</v>
      </c>
      <c r="J269" s="18" t="s">
        <v>9</v>
      </c>
      <c r="K269" s="8" t="s">
        <v>22</v>
      </c>
      <c r="L269" s="8" t="s">
        <v>23</v>
      </c>
      <c r="M269" s="5"/>
      <c r="N269" s="2">
        <v>8</v>
      </c>
      <c r="O269" s="2">
        <v>1</v>
      </c>
      <c r="P269" s="2"/>
      <c r="Q269" s="2">
        <v>9</v>
      </c>
      <c r="R269" s="2">
        <v>3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>
        <f t="shared" si="10"/>
        <v>21</v>
      </c>
    </row>
    <row r="270" spans="1:29" x14ac:dyDescent="0.2">
      <c r="A270" s="2" t="s">
        <v>359</v>
      </c>
      <c r="B270" s="2" t="s">
        <v>19</v>
      </c>
      <c r="C270" s="27">
        <v>1</v>
      </c>
      <c r="D270" s="2" t="s">
        <v>20</v>
      </c>
      <c r="E270" s="2" t="str">
        <f>VLOOKUP(D270,[1]Comunas!$A:$E,5,0)</f>
        <v>Cauca</v>
      </c>
      <c r="F270" s="7" t="str">
        <f t="shared" ref="F270" si="12">CONCATENATE(E270,D270)</f>
        <v>CaucaPOPAYAN</v>
      </c>
      <c r="G270" s="2" t="str">
        <f>VLOOKUP(F270,'[2]CLUSTER_MUNICIPIOS tarifas'!$D:$E,2,0)</f>
        <v>Moderado</v>
      </c>
      <c r="H270" s="2">
        <f>VLOOKUP(F270,'[3]CLUSTER_MUNICIPIOS tarifas'!$D:$F,3,0)</f>
        <v>19001</v>
      </c>
      <c r="I270" s="2" t="s">
        <v>289</v>
      </c>
      <c r="J270" s="18" t="s">
        <v>9</v>
      </c>
      <c r="K270" s="8" t="s">
        <v>22</v>
      </c>
      <c r="L270" s="8" t="s">
        <v>23</v>
      </c>
      <c r="M270" s="5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>
        <f t="shared" ref="AC270" si="13">SUM(N270:Z270)</f>
        <v>0</v>
      </c>
    </row>
    <row r="271" spans="1:29" x14ac:dyDescent="0.2">
      <c r="A271" s="2" t="s">
        <v>359</v>
      </c>
      <c r="B271" s="2" t="s">
        <v>19</v>
      </c>
      <c r="C271" s="27">
        <v>1</v>
      </c>
      <c r="D271" s="2" t="s">
        <v>20</v>
      </c>
      <c r="E271" s="2" t="str">
        <f>VLOOKUP(D271,[1]Comunas!$A:$E,5,0)</f>
        <v>Cauca</v>
      </c>
      <c r="F271" s="7" t="str">
        <f t="shared" ref="F271:F277" si="14">CONCATENATE(E271,D271)</f>
        <v>CaucaPOPAYAN</v>
      </c>
      <c r="G271" s="2" t="str">
        <f>VLOOKUP(F271,'[2]CLUSTER_MUNICIPIOS tarifas'!$D:$E,2,0)</f>
        <v>Moderado</v>
      </c>
      <c r="H271" s="2">
        <f>VLOOKUP(F271,'[3]CLUSTER_MUNICIPIOS tarifas'!$D:$F,3,0)</f>
        <v>19001</v>
      </c>
      <c r="I271" s="2" t="s">
        <v>290</v>
      </c>
      <c r="J271" s="18" t="s">
        <v>9</v>
      </c>
      <c r="K271" s="8" t="s">
        <v>22</v>
      </c>
      <c r="L271" s="8" t="s">
        <v>23</v>
      </c>
      <c r="M271" s="5"/>
      <c r="N271" s="2">
        <v>1</v>
      </c>
      <c r="O271" s="2"/>
      <c r="P271" s="2"/>
      <c r="Q271" s="2"/>
      <c r="R271" s="2">
        <v>1</v>
      </c>
      <c r="S271" s="2"/>
      <c r="T271" s="2"/>
      <c r="U271" s="2"/>
      <c r="V271" s="2"/>
      <c r="W271" s="2"/>
      <c r="X271" s="2"/>
      <c r="Y271" s="2"/>
      <c r="Z271" s="2"/>
      <c r="AA271" s="2"/>
      <c r="AB271" s="2">
        <v>80</v>
      </c>
      <c r="AC271" s="2">
        <f t="shared" si="10"/>
        <v>2</v>
      </c>
    </row>
    <row r="272" spans="1:29" x14ac:dyDescent="0.2">
      <c r="A272" s="2" t="s">
        <v>359</v>
      </c>
      <c r="B272" s="2" t="s">
        <v>19</v>
      </c>
      <c r="C272" s="27">
        <v>1</v>
      </c>
      <c r="D272" s="2" t="s">
        <v>20</v>
      </c>
      <c r="E272" s="2" t="str">
        <f>VLOOKUP(D272,[1]Comunas!$A:$E,5,0)</f>
        <v>Cauca</v>
      </c>
      <c r="F272" s="7" t="str">
        <f t="shared" si="14"/>
        <v>CaucaPOPAYAN</v>
      </c>
      <c r="G272" s="2" t="str">
        <f>VLOOKUP(F272,'[2]CLUSTER_MUNICIPIOS tarifas'!$D:$E,2,0)</f>
        <v>Moderado</v>
      </c>
      <c r="H272" s="2">
        <f>VLOOKUP(F272,'[3]CLUSTER_MUNICIPIOS tarifas'!$D:$F,3,0)</f>
        <v>19001</v>
      </c>
      <c r="I272" s="2" t="s">
        <v>291</v>
      </c>
      <c r="J272" s="18" t="s">
        <v>9</v>
      </c>
      <c r="K272" s="8" t="s">
        <v>22</v>
      </c>
      <c r="L272" s="8" t="s">
        <v>23</v>
      </c>
      <c r="M272" s="5"/>
      <c r="N272" s="2">
        <v>1</v>
      </c>
      <c r="O272" s="2">
        <v>1</v>
      </c>
      <c r="P272" s="2"/>
      <c r="Q272" s="2"/>
      <c r="R272" s="2">
        <v>6</v>
      </c>
      <c r="S272" s="2"/>
      <c r="T272" s="2"/>
      <c r="U272" s="2"/>
      <c r="V272" s="2"/>
      <c r="W272" s="2"/>
      <c r="X272" s="2"/>
      <c r="Y272" s="2">
        <v>1</v>
      </c>
      <c r="Z272" s="2"/>
      <c r="AA272" s="2"/>
      <c r="AB272" s="2"/>
      <c r="AC272" s="2">
        <f t="shared" si="10"/>
        <v>9</v>
      </c>
    </row>
    <row r="273" spans="1:29" x14ac:dyDescent="0.2">
      <c r="A273" s="2" t="s">
        <v>359</v>
      </c>
      <c r="B273" s="2" t="s">
        <v>19</v>
      </c>
      <c r="C273" s="27">
        <v>1</v>
      </c>
      <c r="D273" s="2" t="s">
        <v>20</v>
      </c>
      <c r="E273" s="2" t="str">
        <f>VLOOKUP(D273,[1]Comunas!$A:$E,5,0)</f>
        <v>Cauca</v>
      </c>
      <c r="F273" s="7" t="str">
        <f t="shared" si="14"/>
        <v>CaucaPOPAYAN</v>
      </c>
      <c r="G273" s="2" t="str">
        <f>VLOOKUP(F273,'[2]CLUSTER_MUNICIPIOS tarifas'!$D:$E,2,0)</f>
        <v>Moderado</v>
      </c>
      <c r="H273" s="2">
        <f>VLOOKUP(F273,'[3]CLUSTER_MUNICIPIOS tarifas'!$D:$F,3,0)</f>
        <v>19001</v>
      </c>
      <c r="I273" s="2" t="s">
        <v>292</v>
      </c>
      <c r="J273" s="18" t="s">
        <v>9</v>
      </c>
      <c r="K273" s="8" t="s">
        <v>22</v>
      </c>
      <c r="L273" s="8" t="s">
        <v>23</v>
      </c>
      <c r="M273" s="5"/>
      <c r="N273" s="2"/>
      <c r="O273" s="2">
        <v>1</v>
      </c>
      <c r="P273" s="2"/>
      <c r="Q273" s="2">
        <v>1</v>
      </c>
      <c r="R273" s="2">
        <v>1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>
        <f t="shared" si="10"/>
        <v>3</v>
      </c>
    </row>
    <row r="274" spans="1:29" x14ac:dyDescent="0.2">
      <c r="A274" s="2" t="s">
        <v>359</v>
      </c>
      <c r="B274" s="2" t="s">
        <v>19</v>
      </c>
      <c r="C274" s="27">
        <v>1</v>
      </c>
      <c r="D274" s="2" t="s">
        <v>20</v>
      </c>
      <c r="E274" s="2" t="str">
        <f>VLOOKUP(D274,[1]Comunas!$A:$E,5,0)</f>
        <v>Cauca</v>
      </c>
      <c r="F274" s="7" t="str">
        <f t="shared" si="14"/>
        <v>CaucaPOPAYAN</v>
      </c>
      <c r="G274" s="2" t="str">
        <f>VLOOKUP(F274,'[2]CLUSTER_MUNICIPIOS tarifas'!$D:$E,2,0)</f>
        <v>Moderado</v>
      </c>
      <c r="H274" s="2">
        <f>VLOOKUP(F274,'[3]CLUSTER_MUNICIPIOS tarifas'!$D:$F,3,0)</f>
        <v>19001</v>
      </c>
      <c r="I274" s="2" t="s">
        <v>293</v>
      </c>
      <c r="J274" s="18" t="s">
        <v>9</v>
      </c>
      <c r="K274" s="8" t="s">
        <v>22</v>
      </c>
      <c r="L274" s="8" t="s">
        <v>23</v>
      </c>
      <c r="M274" s="5"/>
      <c r="N274" s="2">
        <v>1</v>
      </c>
      <c r="O274" s="2"/>
      <c r="P274" s="2"/>
      <c r="Q274" s="2">
        <v>1</v>
      </c>
      <c r="R274" s="2">
        <v>1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>
        <f t="shared" si="10"/>
        <v>3</v>
      </c>
    </row>
    <row r="275" spans="1:29" x14ac:dyDescent="0.2">
      <c r="A275" s="2" t="s">
        <v>359</v>
      </c>
      <c r="B275" s="2" t="s">
        <v>19</v>
      </c>
      <c r="C275" s="27">
        <v>1</v>
      </c>
      <c r="D275" s="2" t="s">
        <v>108</v>
      </c>
      <c r="E275" s="2" t="str">
        <f>VLOOKUP(D275,[1]Comunas!$A:$E,5,0)</f>
        <v>Cauca</v>
      </c>
      <c r="F275" s="7" t="str">
        <f t="shared" si="14"/>
        <v>CaucaSANTANDER DE QUILICHAO</v>
      </c>
      <c r="G275" s="2" t="str">
        <f>VLOOKUP(F275,'[2]CLUSTER_MUNICIPIOS tarifas'!$D:$E,2,0)</f>
        <v>Moderado</v>
      </c>
      <c r="H275" s="2">
        <f>VLOOKUP(F275,'[3]CLUSTER_MUNICIPIOS tarifas'!$D:$F,3,0)</f>
        <v>19698</v>
      </c>
      <c r="I275" s="2" t="s">
        <v>294</v>
      </c>
      <c r="J275" s="18" t="s">
        <v>9</v>
      </c>
      <c r="K275" s="8" t="s">
        <v>22</v>
      </c>
      <c r="L275" s="8" t="s">
        <v>23</v>
      </c>
      <c r="M275" s="5"/>
      <c r="N275" s="2">
        <v>14</v>
      </c>
      <c r="O275" s="2"/>
      <c r="P275" s="2"/>
      <c r="Q275" s="2"/>
      <c r="R275" s="2">
        <v>1</v>
      </c>
      <c r="S275" s="2"/>
      <c r="T275" s="2"/>
      <c r="U275" s="2"/>
      <c r="V275" s="2"/>
      <c r="W275" s="2"/>
      <c r="X275" s="2"/>
      <c r="Y275" s="2"/>
      <c r="Z275" s="2"/>
      <c r="AA275" s="2"/>
      <c r="AB275" s="2">
        <v>30</v>
      </c>
      <c r="AC275" s="2">
        <f t="shared" si="10"/>
        <v>15</v>
      </c>
    </row>
    <row r="276" spans="1:29" x14ac:dyDescent="0.2">
      <c r="A276" s="2" t="s">
        <v>359</v>
      </c>
      <c r="B276" s="2" t="s">
        <v>19</v>
      </c>
      <c r="C276" s="27">
        <v>1</v>
      </c>
      <c r="D276" s="2" t="s">
        <v>108</v>
      </c>
      <c r="E276" s="2" t="str">
        <f>VLOOKUP(D276,[1]Comunas!$A:$E,5,0)</f>
        <v>Cauca</v>
      </c>
      <c r="F276" s="7" t="str">
        <f t="shared" si="14"/>
        <v>CaucaSANTANDER DE QUILICHAO</v>
      </c>
      <c r="G276" s="2" t="str">
        <f>VLOOKUP(F276,'[2]CLUSTER_MUNICIPIOS tarifas'!$D:$E,2,0)</f>
        <v>Moderado</v>
      </c>
      <c r="H276" s="2">
        <f>VLOOKUP(F276,'[3]CLUSTER_MUNICIPIOS tarifas'!$D:$F,3,0)</f>
        <v>19698</v>
      </c>
      <c r="I276" s="2" t="s">
        <v>295</v>
      </c>
      <c r="J276" s="18" t="s">
        <v>9</v>
      </c>
      <c r="K276" s="8" t="s">
        <v>22</v>
      </c>
      <c r="L276" s="8" t="s">
        <v>23</v>
      </c>
      <c r="M276" s="5"/>
      <c r="N276" s="2">
        <v>2</v>
      </c>
      <c r="O276" s="2">
        <v>20</v>
      </c>
      <c r="P276" s="2"/>
      <c r="Q276" s="2"/>
      <c r="R276" s="2">
        <v>4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>
        <f t="shared" si="10"/>
        <v>26</v>
      </c>
    </row>
    <row r="277" spans="1:29" x14ac:dyDescent="0.2">
      <c r="A277" s="2" t="s">
        <v>359</v>
      </c>
      <c r="B277" s="2" t="s">
        <v>19</v>
      </c>
      <c r="C277" s="27">
        <v>1</v>
      </c>
      <c r="D277" s="2" t="s">
        <v>108</v>
      </c>
      <c r="E277" s="2" t="str">
        <f>VLOOKUP(D277,[1]Comunas!$A:$E,5,0)</f>
        <v>Cauca</v>
      </c>
      <c r="F277" s="7" t="str">
        <f t="shared" si="14"/>
        <v>CaucaSANTANDER DE QUILICHAO</v>
      </c>
      <c r="G277" s="2" t="str">
        <f>VLOOKUP(F277,'[2]CLUSTER_MUNICIPIOS tarifas'!$D:$E,2,0)</f>
        <v>Moderado</v>
      </c>
      <c r="H277" s="2">
        <f>VLOOKUP(F277,'[3]CLUSTER_MUNICIPIOS tarifas'!$D:$F,3,0)</f>
        <v>19698</v>
      </c>
      <c r="I277" s="2" t="s">
        <v>296</v>
      </c>
      <c r="J277" s="18" t="s">
        <v>9</v>
      </c>
      <c r="K277" s="8" t="s">
        <v>22</v>
      </c>
      <c r="L277" s="8" t="s">
        <v>23</v>
      </c>
      <c r="M277" s="5"/>
      <c r="N277" s="2">
        <v>3</v>
      </c>
      <c r="O277" s="2">
        <v>40</v>
      </c>
      <c r="P277" s="2"/>
      <c r="Q277" s="2">
        <v>7</v>
      </c>
      <c r="R277" s="2">
        <v>5</v>
      </c>
      <c r="S277" s="2"/>
      <c r="T277" s="2">
        <v>8</v>
      </c>
      <c r="U277" s="2"/>
      <c r="V277" s="2"/>
      <c r="W277" s="2"/>
      <c r="X277" s="2"/>
      <c r="Y277" s="2"/>
      <c r="Z277" s="2"/>
      <c r="AA277" s="2"/>
      <c r="AB277" s="2"/>
      <c r="AC277" s="2">
        <f t="shared" si="10"/>
        <v>63</v>
      </c>
    </row>
    <row r="278" spans="1:29" x14ac:dyDescent="0.2">
      <c r="A278" s="2" t="s">
        <v>359</v>
      </c>
      <c r="B278" s="2" t="s">
        <v>19</v>
      </c>
      <c r="C278" s="27">
        <v>1</v>
      </c>
      <c r="D278" s="2" t="s">
        <v>20</v>
      </c>
      <c r="E278" s="2" t="str">
        <f>VLOOKUP(D278,[1]Comunas!$A:$E,5,0)</f>
        <v>Cauca</v>
      </c>
      <c r="F278" s="7" t="str">
        <f t="shared" ref="F278:F294" si="15">CONCATENATE(E278,D278)</f>
        <v>CaucaPOPAYAN</v>
      </c>
      <c r="G278" s="2" t="str">
        <f>VLOOKUP(F278,'[2]CLUSTER_MUNICIPIOS tarifas'!$D:$E,2,0)</f>
        <v>Moderado</v>
      </c>
      <c r="H278" s="2">
        <f>VLOOKUP(F278,'[3]CLUSTER_MUNICIPIOS tarifas'!$D:$F,3,0)</f>
        <v>19001</v>
      </c>
      <c r="I278" s="2" t="s">
        <v>297</v>
      </c>
      <c r="J278" s="18">
        <v>45444</v>
      </c>
      <c r="K278" s="8" t="s">
        <v>22</v>
      </c>
      <c r="L278" s="8" t="s">
        <v>23</v>
      </c>
      <c r="M278" s="5"/>
      <c r="N278" s="2">
        <v>34</v>
      </c>
      <c r="O278" s="2">
        <v>3</v>
      </c>
      <c r="P278" s="2"/>
      <c r="Q278" s="2">
        <v>5</v>
      </c>
      <c r="R278" s="2">
        <v>15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>
        <f t="shared" si="10"/>
        <v>57</v>
      </c>
    </row>
    <row r="279" spans="1:29" x14ac:dyDescent="0.2">
      <c r="A279" s="2" t="s">
        <v>359</v>
      </c>
      <c r="B279" s="2" t="s">
        <v>19</v>
      </c>
      <c r="C279" s="27">
        <v>1</v>
      </c>
      <c r="D279" s="2" t="s">
        <v>20</v>
      </c>
      <c r="E279" s="2" t="str">
        <f>VLOOKUP(D279,[1]Comunas!$A:$E,5,0)</f>
        <v>Cauca</v>
      </c>
      <c r="F279" s="7" t="str">
        <f t="shared" si="15"/>
        <v>CaucaPOPAYAN</v>
      </c>
      <c r="G279" s="2" t="str">
        <f>VLOOKUP(F279,'[2]CLUSTER_MUNICIPIOS tarifas'!$D:$E,2,0)</f>
        <v>Moderado</v>
      </c>
      <c r="H279" s="2">
        <f>VLOOKUP(F279,'[3]CLUSTER_MUNICIPIOS tarifas'!$D:$F,3,0)</f>
        <v>19001</v>
      </c>
      <c r="I279" s="2" t="s">
        <v>298</v>
      </c>
      <c r="J279" s="18">
        <v>45444</v>
      </c>
      <c r="K279" s="8" t="s">
        <v>22</v>
      </c>
      <c r="L279" s="8" t="s">
        <v>23</v>
      </c>
      <c r="M279" s="5"/>
      <c r="N279" s="2">
        <v>15</v>
      </c>
      <c r="O279" s="2">
        <v>2</v>
      </c>
      <c r="P279" s="2"/>
      <c r="Q279" s="2">
        <v>6</v>
      </c>
      <c r="R279" s="2">
        <v>19</v>
      </c>
      <c r="S279" s="2"/>
      <c r="T279" s="2">
        <v>2</v>
      </c>
      <c r="U279" s="2"/>
      <c r="V279" s="2"/>
      <c r="W279" s="2"/>
      <c r="X279" s="2"/>
      <c r="Y279" s="2"/>
      <c r="Z279" s="2"/>
      <c r="AA279" s="2"/>
      <c r="AB279" s="2">
        <v>20</v>
      </c>
      <c r="AC279" s="2">
        <f t="shared" si="10"/>
        <v>44</v>
      </c>
    </row>
    <row r="280" spans="1:29" x14ac:dyDescent="0.2">
      <c r="A280" s="2" t="s">
        <v>359</v>
      </c>
      <c r="B280" s="2" t="s">
        <v>19</v>
      </c>
      <c r="C280" s="27">
        <v>1</v>
      </c>
      <c r="D280" s="2" t="s">
        <v>108</v>
      </c>
      <c r="E280" s="2" t="str">
        <f>VLOOKUP(D280,[1]Comunas!$A:$E,5,0)</f>
        <v>Cauca</v>
      </c>
      <c r="F280" s="7" t="str">
        <f t="shared" si="15"/>
        <v>CaucaSANTANDER DE QUILICHAO</v>
      </c>
      <c r="G280" s="2" t="str">
        <f>VLOOKUP(F280,'[2]CLUSTER_MUNICIPIOS tarifas'!$D:$E,2,0)</f>
        <v>Moderado</v>
      </c>
      <c r="H280" s="2">
        <f>VLOOKUP(F280,'[3]CLUSTER_MUNICIPIOS tarifas'!$D:$F,3,0)</f>
        <v>19698</v>
      </c>
      <c r="I280" s="2" t="s">
        <v>299</v>
      </c>
      <c r="J280" s="18">
        <v>45444</v>
      </c>
      <c r="K280" s="8" t="s">
        <v>22</v>
      </c>
      <c r="L280" s="8" t="s">
        <v>23</v>
      </c>
      <c r="M280" s="5"/>
      <c r="N280" s="2"/>
      <c r="O280" s="2">
        <v>17</v>
      </c>
      <c r="P280" s="2"/>
      <c r="Q280" s="2">
        <v>2</v>
      </c>
      <c r="R280" s="2">
        <v>19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>
        <f t="shared" si="10"/>
        <v>38</v>
      </c>
    </row>
    <row r="281" spans="1:29" x14ac:dyDescent="0.2">
      <c r="A281" s="2" t="s">
        <v>359</v>
      </c>
      <c r="B281" s="2" t="s">
        <v>19</v>
      </c>
      <c r="C281" s="27">
        <v>1</v>
      </c>
      <c r="D281" s="2" t="s">
        <v>20</v>
      </c>
      <c r="E281" s="2" t="str">
        <f>VLOOKUP(D281,[1]Comunas!$A:$E,5,0)</f>
        <v>Cauca</v>
      </c>
      <c r="F281" s="7" t="str">
        <f t="shared" si="15"/>
        <v>CaucaPOPAYAN</v>
      </c>
      <c r="G281" s="2" t="str">
        <f>VLOOKUP(F281,'[2]CLUSTER_MUNICIPIOS tarifas'!$D:$E,2,0)</f>
        <v>Moderado</v>
      </c>
      <c r="H281" s="2">
        <f>VLOOKUP(F281,'[3]CLUSTER_MUNICIPIOS tarifas'!$D:$F,3,0)</f>
        <v>19001</v>
      </c>
      <c r="I281" s="2" t="s">
        <v>300</v>
      </c>
      <c r="J281" s="18">
        <v>45474</v>
      </c>
      <c r="K281" s="8" t="s">
        <v>22</v>
      </c>
      <c r="L281" s="8" t="s">
        <v>23</v>
      </c>
      <c r="M281" s="5"/>
      <c r="N281" s="2"/>
      <c r="O281" s="2"/>
      <c r="P281" s="2"/>
      <c r="Q281" s="2"/>
      <c r="R281" s="2">
        <v>3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>
        <f t="shared" si="10"/>
        <v>3</v>
      </c>
    </row>
    <row r="282" spans="1:29" x14ac:dyDescent="0.2">
      <c r="A282" s="2" t="s">
        <v>359</v>
      </c>
      <c r="B282" s="2" t="s">
        <v>19</v>
      </c>
      <c r="C282" s="27">
        <v>1</v>
      </c>
      <c r="D282" s="2" t="s">
        <v>20</v>
      </c>
      <c r="E282" s="2" t="str">
        <f>VLOOKUP(D282,[1]Comunas!$A:$E,5,0)</f>
        <v>Cauca</v>
      </c>
      <c r="F282" s="7" t="str">
        <f t="shared" si="15"/>
        <v>CaucaPOPAYAN</v>
      </c>
      <c r="G282" s="2" t="str">
        <f>VLOOKUP(F282,'[2]CLUSTER_MUNICIPIOS tarifas'!$D:$E,2,0)</f>
        <v>Moderado</v>
      </c>
      <c r="H282" s="2">
        <f>VLOOKUP(F282,'[3]CLUSTER_MUNICIPIOS tarifas'!$D:$F,3,0)</f>
        <v>19001</v>
      </c>
      <c r="I282" s="2" t="s">
        <v>301</v>
      </c>
      <c r="J282" s="18">
        <v>45474</v>
      </c>
      <c r="K282" s="8" t="s">
        <v>22</v>
      </c>
      <c r="L282" s="8" t="s">
        <v>23</v>
      </c>
      <c r="M282" s="5"/>
      <c r="N282" s="2">
        <v>8</v>
      </c>
      <c r="O282" s="2">
        <v>1</v>
      </c>
      <c r="P282" s="2">
        <v>1</v>
      </c>
      <c r="Q282" s="2">
        <v>1</v>
      </c>
      <c r="R282" s="2">
        <v>6</v>
      </c>
      <c r="S282" s="2"/>
      <c r="T282" s="2">
        <v>1</v>
      </c>
      <c r="U282" s="2"/>
      <c r="V282" s="2"/>
      <c r="W282" s="2"/>
      <c r="X282" s="2"/>
      <c r="Y282" s="2"/>
      <c r="Z282" s="2"/>
      <c r="AA282" s="2"/>
      <c r="AB282" s="2">
        <v>15</v>
      </c>
      <c r="AC282" s="2">
        <f t="shared" si="10"/>
        <v>18</v>
      </c>
    </row>
    <row r="283" spans="1:29" x14ac:dyDescent="0.2">
      <c r="A283" s="2" t="s">
        <v>359</v>
      </c>
      <c r="B283" s="2" t="s">
        <v>19</v>
      </c>
      <c r="C283" s="27">
        <v>1</v>
      </c>
      <c r="D283" s="2" t="s">
        <v>20</v>
      </c>
      <c r="E283" s="2" t="str">
        <f>VLOOKUP(D283,[1]Comunas!$A:$E,5,0)</f>
        <v>Cauca</v>
      </c>
      <c r="F283" s="7" t="str">
        <f t="shared" si="15"/>
        <v>CaucaPOPAYAN</v>
      </c>
      <c r="G283" s="2" t="str">
        <f>VLOOKUP(F283,'[2]CLUSTER_MUNICIPIOS tarifas'!$D:$E,2,0)</f>
        <v>Moderado</v>
      </c>
      <c r="H283" s="2">
        <f>VLOOKUP(F283,'[3]CLUSTER_MUNICIPIOS tarifas'!$D:$F,3,0)</f>
        <v>19001</v>
      </c>
      <c r="I283" s="2" t="s">
        <v>302</v>
      </c>
      <c r="J283" s="18">
        <v>45474</v>
      </c>
      <c r="K283" s="8" t="s">
        <v>22</v>
      </c>
      <c r="L283" s="8" t="s">
        <v>23</v>
      </c>
      <c r="M283" s="5"/>
      <c r="N283" s="2">
        <v>7</v>
      </c>
      <c r="O283" s="2"/>
      <c r="P283" s="2"/>
      <c r="Q283" s="2"/>
      <c r="R283" s="2">
        <v>4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>
        <f t="shared" si="10"/>
        <v>11</v>
      </c>
    </row>
    <row r="284" spans="1:29" x14ac:dyDescent="0.2">
      <c r="A284" s="2" t="s">
        <v>359</v>
      </c>
      <c r="B284" s="2" t="s">
        <v>19</v>
      </c>
      <c r="C284" s="27">
        <v>1</v>
      </c>
      <c r="D284" s="2" t="s">
        <v>20</v>
      </c>
      <c r="E284" s="2" t="str">
        <f>VLOOKUP(D284,[1]Comunas!$A:$E,5,0)</f>
        <v>Cauca</v>
      </c>
      <c r="F284" s="7" t="str">
        <f t="shared" si="15"/>
        <v>CaucaPOPAYAN</v>
      </c>
      <c r="G284" s="2" t="str">
        <f>VLOOKUP(F284,'[2]CLUSTER_MUNICIPIOS tarifas'!$D:$E,2,0)</f>
        <v>Moderado</v>
      </c>
      <c r="H284" s="2">
        <f>VLOOKUP(F284,'[3]CLUSTER_MUNICIPIOS tarifas'!$D:$F,3,0)</f>
        <v>19001</v>
      </c>
      <c r="I284" s="2" t="s">
        <v>303</v>
      </c>
      <c r="J284" s="18">
        <v>45474</v>
      </c>
      <c r="K284" s="8" t="s">
        <v>22</v>
      </c>
      <c r="L284" s="8" t="s">
        <v>23</v>
      </c>
      <c r="M284" s="5"/>
      <c r="N284" s="2">
        <v>21</v>
      </c>
      <c r="O284" s="2">
        <v>13</v>
      </c>
      <c r="P284" s="2">
        <v>1</v>
      </c>
      <c r="Q284" s="2"/>
      <c r="R284" s="2">
        <v>8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>
        <f t="shared" si="10"/>
        <v>43</v>
      </c>
    </row>
    <row r="285" spans="1:29" x14ac:dyDescent="0.2">
      <c r="A285" s="2" t="s">
        <v>359</v>
      </c>
      <c r="B285" s="2" t="s">
        <v>19</v>
      </c>
      <c r="C285" s="27">
        <v>1</v>
      </c>
      <c r="D285" s="2" t="s">
        <v>20</v>
      </c>
      <c r="E285" s="2" t="str">
        <f>VLOOKUP(D285,[1]Comunas!$A:$E,5,0)</f>
        <v>Cauca</v>
      </c>
      <c r="F285" s="7" t="str">
        <f t="shared" si="15"/>
        <v>CaucaPOPAYAN</v>
      </c>
      <c r="G285" s="2" t="str">
        <f>VLOOKUP(F285,'[2]CLUSTER_MUNICIPIOS tarifas'!$D:$E,2,0)</f>
        <v>Moderado</v>
      </c>
      <c r="H285" s="2">
        <f>VLOOKUP(F285,'[3]CLUSTER_MUNICIPIOS tarifas'!$D:$F,3,0)</f>
        <v>19001</v>
      </c>
      <c r="I285" s="2" t="s">
        <v>304</v>
      </c>
      <c r="J285" s="18">
        <v>45474</v>
      </c>
      <c r="K285" s="8" t="s">
        <v>22</v>
      </c>
      <c r="L285" s="8" t="s">
        <v>23</v>
      </c>
      <c r="M285" s="5"/>
      <c r="N285" s="2">
        <v>1</v>
      </c>
      <c r="O285" s="2"/>
      <c r="P285" s="2"/>
      <c r="Q285" s="2">
        <v>1</v>
      </c>
      <c r="R285" s="2">
        <v>1</v>
      </c>
      <c r="S285" s="2"/>
      <c r="T285" s="2"/>
      <c r="U285" s="2"/>
      <c r="V285" s="2"/>
      <c r="W285" s="2"/>
      <c r="X285" s="2"/>
      <c r="Y285" s="2"/>
      <c r="Z285" s="2"/>
      <c r="AA285" s="2"/>
      <c r="AB285" s="2">
        <v>25</v>
      </c>
      <c r="AC285" s="2">
        <f t="shared" si="10"/>
        <v>3</v>
      </c>
    </row>
    <row r="286" spans="1:29" x14ac:dyDescent="0.2">
      <c r="A286" s="2" t="s">
        <v>359</v>
      </c>
      <c r="B286" s="2" t="s">
        <v>19</v>
      </c>
      <c r="C286" s="27">
        <v>1</v>
      </c>
      <c r="D286" s="2" t="s">
        <v>20</v>
      </c>
      <c r="E286" s="2" t="str">
        <f>VLOOKUP(D286,[1]Comunas!$A:$E,5,0)</f>
        <v>Cauca</v>
      </c>
      <c r="F286" s="7" t="str">
        <f t="shared" si="15"/>
        <v>CaucaPOPAYAN</v>
      </c>
      <c r="G286" s="2" t="str">
        <f>VLOOKUP(F286,'[2]CLUSTER_MUNICIPIOS tarifas'!$D:$E,2,0)</f>
        <v>Moderado</v>
      </c>
      <c r="H286" s="2">
        <f>VLOOKUP(F286,'[3]CLUSTER_MUNICIPIOS tarifas'!$D:$F,3,0)</f>
        <v>19001</v>
      </c>
      <c r="I286" s="2" t="s">
        <v>305</v>
      </c>
      <c r="J286" s="18">
        <v>45505</v>
      </c>
      <c r="K286" s="8" t="s">
        <v>22</v>
      </c>
      <c r="L286" s="8" t="s">
        <v>23</v>
      </c>
      <c r="M286" s="5"/>
      <c r="N286" s="2">
        <v>4</v>
      </c>
      <c r="O286" s="2"/>
      <c r="P286" s="2"/>
      <c r="Q286" s="2"/>
      <c r="R286" s="2">
        <v>3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>
        <f t="shared" si="10"/>
        <v>7</v>
      </c>
    </row>
    <row r="287" spans="1:29" x14ac:dyDescent="0.2">
      <c r="A287" s="2" t="s">
        <v>359</v>
      </c>
      <c r="B287" s="2" t="s">
        <v>19</v>
      </c>
      <c r="C287" s="27">
        <v>1</v>
      </c>
      <c r="D287" s="2" t="s">
        <v>20</v>
      </c>
      <c r="E287" s="2" t="str">
        <f>VLOOKUP(D287,[1]Comunas!$A:$E,5,0)</f>
        <v>Cauca</v>
      </c>
      <c r="F287" s="7" t="str">
        <f t="shared" si="15"/>
        <v>CaucaPOPAYAN</v>
      </c>
      <c r="G287" s="2" t="str">
        <f>VLOOKUP(F287,'[2]CLUSTER_MUNICIPIOS tarifas'!$D:$E,2,0)</f>
        <v>Moderado</v>
      </c>
      <c r="H287" s="2">
        <f>VLOOKUP(F287,'[3]CLUSTER_MUNICIPIOS tarifas'!$D:$F,3,0)</f>
        <v>19001</v>
      </c>
      <c r="I287" s="2" t="s">
        <v>306</v>
      </c>
      <c r="J287" s="18">
        <v>45505</v>
      </c>
      <c r="K287" s="8" t="s">
        <v>22</v>
      </c>
      <c r="L287" s="8" t="s">
        <v>23</v>
      </c>
      <c r="M287" s="5"/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>
        <f t="shared" si="10"/>
        <v>1</v>
      </c>
    </row>
    <row r="288" spans="1:29" x14ac:dyDescent="0.2">
      <c r="A288" s="2" t="s">
        <v>359</v>
      </c>
      <c r="B288" s="2" t="s">
        <v>19</v>
      </c>
      <c r="C288" s="27">
        <v>1</v>
      </c>
      <c r="D288" s="2" t="s">
        <v>20</v>
      </c>
      <c r="E288" s="2" t="str">
        <f>VLOOKUP(D288,[1]Comunas!$A:$E,5,0)</f>
        <v>Cauca</v>
      </c>
      <c r="F288" s="7" t="str">
        <f t="shared" si="15"/>
        <v>CaucaPOPAYAN</v>
      </c>
      <c r="G288" s="2" t="str">
        <f>VLOOKUP(F288,'[2]CLUSTER_MUNICIPIOS tarifas'!$D:$E,2,0)</f>
        <v>Moderado</v>
      </c>
      <c r="H288" s="2">
        <f>VLOOKUP(F288,'[3]CLUSTER_MUNICIPIOS tarifas'!$D:$F,3,0)</f>
        <v>19001</v>
      </c>
      <c r="I288" s="2" t="s">
        <v>307</v>
      </c>
      <c r="J288" s="18">
        <v>45505</v>
      </c>
      <c r="K288" s="8" t="s">
        <v>22</v>
      </c>
      <c r="L288" s="8" t="s">
        <v>23</v>
      </c>
      <c r="M288" s="5"/>
      <c r="N288" s="2">
        <v>10</v>
      </c>
      <c r="O288" s="2"/>
      <c r="P288" s="2"/>
      <c r="Q288" s="2">
        <v>1</v>
      </c>
      <c r="R288" s="2">
        <v>4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>
        <f t="shared" si="10"/>
        <v>15</v>
      </c>
    </row>
    <row r="289" spans="1:29" x14ac:dyDescent="0.2">
      <c r="A289" s="2" t="s">
        <v>359</v>
      </c>
      <c r="B289" s="2" t="s">
        <v>19</v>
      </c>
      <c r="C289" s="27">
        <v>1</v>
      </c>
      <c r="D289" s="2" t="s">
        <v>20</v>
      </c>
      <c r="E289" s="2" t="str">
        <f>VLOOKUP(D289,[1]Comunas!$A:$E,5,0)</f>
        <v>Cauca</v>
      </c>
      <c r="F289" s="7" t="str">
        <f t="shared" si="15"/>
        <v>CaucaPOPAYAN</v>
      </c>
      <c r="G289" s="2" t="str">
        <f>VLOOKUP(F289,'[2]CLUSTER_MUNICIPIOS tarifas'!$D:$E,2,0)</f>
        <v>Moderado</v>
      </c>
      <c r="H289" s="2">
        <f>VLOOKUP(F289,'[3]CLUSTER_MUNICIPIOS tarifas'!$D:$F,3,0)</f>
        <v>19001</v>
      </c>
      <c r="I289" s="2" t="s">
        <v>308</v>
      </c>
      <c r="J289" s="18">
        <v>45505</v>
      </c>
      <c r="K289" s="8" t="s">
        <v>22</v>
      </c>
      <c r="L289" s="8" t="s">
        <v>23</v>
      </c>
      <c r="M289" s="5"/>
      <c r="N289" s="2">
        <v>15</v>
      </c>
      <c r="O289" s="2"/>
      <c r="P289" s="2"/>
      <c r="Q289" s="2"/>
      <c r="R289" s="2">
        <v>9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>
        <f t="shared" si="10"/>
        <v>24</v>
      </c>
    </row>
    <row r="290" spans="1:29" x14ac:dyDescent="0.2">
      <c r="A290" s="2" t="s">
        <v>359</v>
      </c>
      <c r="B290" s="2" t="s">
        <v>19</v>
      </c>
      <c r="C290" s="27">
        <v>1</v>
      </c>
      <c r="D290" s="2" t="s">
        <v>20</v>
      </c>
      <c r="E290" s="2" t="str">
        <f>VLOOKUP(D290,[1]Comunas!$A:$E,5,0)</f>
        <v>Cauca</v>
      </c>
      <c r="F290" s="7" t="str">
        <f t="shared" si="15"/>
        <v>CaucaPOPAYAN</v>
      </c>
      <c r="G290" s="2" t="str">
        <f>VLOOKUP(F290,'[2]CLUSTER_MUNICIPIOS tarifas'!$D:$E,2,0)</f>
        <v>Moderado</v>
      </c>
      <c r="H290" s="2">
        <f>VLOOKUP(F290,'[3]CLUSTER_MUNICIPIOS tarifas'!$D:$F,3,0)</f>
        <v>19001</v>
      </c>
      <c r="I290" s="2" t="s">
        <v>309</v>
      </c>
      <c r="J290" s="18">
        <v>45505</v>
      </c>
      <c r="K290" s="8" t="s">
        <v>22</v>
      </c>
      <c r="L290" s="8" t="s">
        <v>23</v>
      </c>
      <c r="M290" s="5"/>
      <c r="N290" s="2">
        <v>5</v>
      </c>
      <c r="O290" s="2">
        <v>1</v>
      </c>
      <c r="P290" s="2"/>
      <c r="Q290" s="2">
        <v>3</v>
      </c>
      <c r="R290" s="2">
        <v>1</v>
      </c>
      <c r="S290" s="2"/>
      <c r="T290" s="2"/>
      <c r="U290" s="2"/>
      <c r="V290" s="2"/>
      <c r="W290" s="2"/>
      <c r="X290" s="2"/>
      <c r="Y290" s="2"/>
      <c r="Z290" s="2"/>
      <c r="AA290" s="2"/>
      <c r="AB290" s="2">
        <v>34</v>
      </c>
      <c r="AC290" s="2">
        <f t="shared" si="10"/>
        <v>10</v>
      </c>
    </row>
    <row r="291" spans="1:29" x14ac:dyDescent="0.2">
      <c r="A291" s="2" t="s">
        <v>359</v>
      </c>
      <c r="B291" s="2" t="s">
        <v>19</v>
      </c>
      <c r="C291" s="27">
        <v>1</v>
      </c>
      <c r="D291" s="2" t="s">
        <v>20</v>
      </c>
      <c r="E291" s="2" t="str">
        <f>VLOOKUP(D291,[1]Comunas!$A:$E,5,0)</f>
        <v>Cauca</v>
      </c>
      <c r="F291" s="7" t="str">
        <f t="shared" si="15"/>
        <v>CaucaPOPAYAN</v>
      </c>
      <c r="G291" s="2" t="str">
        <f>VLOOKUP(F291,'[2]CLUSTER_MUNICIPIOS tarifas'!$D:$E,2,0)</f>
        <v>Moderado</v>
      </c>
      <c r="H291" s="2">
        <f>VLOOKUP(F291,'[3]CLUSTER_MUNICIPIOS tarifas'!$D:$F,3,0)</f>
        <v>19001</v>
      </c>
      <c r="I291" s="2" t="s">
        <v>310</v>
      </c>
      <c r="J291" s="18">
        <v>45505</v>
      </c>
      <c r="K291" s="8" t="s">
        <v>22</v>
      </c>
      <c r="L291" s="8" t="s">
        <v>23</v>
      </c>
      <c r="M291" s="5"/>
      <c r="N291" s="2">
        <v>5</v>
      </c>
      <c r="O291" s="2"/>
      <c r="P291" s="2"/>
      <c r="Q291" s="2">
        <v>2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>
        <f t="shared" si="10"/>
        <v>7</v>
      </c>
    </row>
    <row r="292" spans="1:29" x14ac:dyDescent="0.2">
      <c r="A292" s="2" t="s">
        <v>359</v>
      </c>
      <c r="B292" s="2" t="s">
        <v>19</v>
      </c>
      <c r="C292" s="27">
        <v>1</v>
      </c>
      <c r="D292" s="2" t="s">
        <v>20</v>
      </c>
      <c r="E292" s="2" t="str">
        <f>VLOOKUP(D292,[1]Comunas!$A:$E,5,0)</f>
        <v>Cauca</v>
      </c>
      <c r="F292" s="7" t="str">
        <f t="shared" si="15"/>
        <v>CaucaPOPAYAN</v>
      </c>
      <c r="G292" s="2" t="str">
        <f>VLOOKUP(F292,'[2]CLUSTER_MUNICIPIOS tarifas'!$D:$E,2,0)</f>
        <v>Moderado</v>
      </c>
      <c r="H292" s="2">
        <f>VLOOKUP(F292,'[3]CLUSTER_MUNICIPIOS tarifas'!$D:$F,3,0)</f>
        <v>19001</v>
      </c>
      <c r="I292" s="2" t="s">
        <v>311</v>
      </c>
      <c r="J292" s="18">
        <v>45505</v>
      </c>
      <c r="K292" s="8" t="s">
        <v>22</v>
      </c>
      <c r="L292" s="8" t="s">
        <v>23</v>
      </c>
      <c r="M292" s="5"/>
      <c r="N292" s="2">
        <v>1</v>
      </c>
      <c r="O292" s="2">
        <v>1</v>
      </c>
      <c r="P292" s="2"/>
      <c r="Q292" s="2">
        <v>2</v>
      </c>
      <c r="R292" s="2">
        <v>6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>
        <f t="shared" si="10"/>
        <v>10</v>
      </c>
    </row>
    <row r="293" spans="1:29" x14ac:dyDescent="0.2">
      <c r="A293" s="2" t="s">
        <v>359</v>
      </c>
      <c r="B293" s="2" t="s">
        <v>19</v>
      </c>
      <c r="C293" s="27">
        <v>1</v>
      </c>
      <c r="D293" s="2" t="s">
        <v>20</v>
      </c>
      <c r="E293" s="2" t="str">
        <f>VLOOKUP(D293,[1]Comunas!$A:$E,5,0)</f>
        <v>Cauca</v>
      </c>
      <c r="F293" s="7" t="str">
        <f t="shared" si="15"/>
        <v>CaucaPOPAYAN</v>
      </c>
      <c r="G293" s="2" t="str">
        <f>VLOOKUP(F293,'[2]CLUSTER_MUNICIPIOS tarifas'!$D:$E,2,0)</f>
        <v>Moderado</v>
      </c>
      <c r="H293" s="2">
        <f>VLOOKUP(F293,'[3]CLUSTER_MUNICIPIOS tarifas'!$D:$F,3,0)</f>
        <v>19001</v>
      </c>
      <c r="I293" s="2" t="s">
        <v>312</v>
      </c>
      <c r="J293" s="18">
        <v>45505</v>
      </c>
      <c r="K293" s="8" t="s">
        <v>22</v>
      </c>
      <c r="L293" s="8" t="s">
        <v>23</v>
      </c>
      <c r="M293" s="5"/>
      <c r="N293" s="2">
        <v>22</v>
      </c>
      <c r="O293" s="2">
        <v>3</v>
      </c>
      <c r="P293" s="2"/>
      <c r="Q293" s="2">
        <v>9</v>
      </c>
      <c r="R293" s="2">
        <v>14</v>
      </c>
      <c r="S293" s="2"/>
      <c r="T293" s="2">
        <v>4</v>
      </c>
      <c r="U293" s="2"/>
      <c r="V293" s="2"/>
      <c r="W293" s="2"/>
      <c r="X293" s="2"/>
      <c r="Y293" s="2"/>
      <c r="Z293" s="2"/>
      <c r="AA293" s="2"/>
      <c r="AB293" s="2"/>
      <c r="AC293" s="2">
        <f t="shared" si="10"/>
        <v>52</v>
      </c>
    </row>
    <row r="294" spans="1:29" x14ac:dyDescent="0.2">
      <c r="A294" s="2" t="s">
        <v>359</v>
      </c>
      <c r="B294" s="2" t="s">
        <v>19</v>
      </c>
      <c r="C294" s="27">
        <v>1</v>
      </c>
      <c r="D294" s="2" t="s">
        <v>20</v>
      </c>
      <c r="E294" s="2" t="str">
        <f>VLOOKUP(D294,[1]Comunas!$A:$E,5,0)</f>
        <v>Cauca</v>
      </c>
      <c r="F294" s="7" t="str">
        <f t="shared" si="15"/>
        <v>CaucaPOPAYAN</v>
      </c>
      <c r="G294" s="2" t="str">
        <f>VLOOKUP(F294,'[2]CLUSTER_MUNICIPIOS tarifas'!$D:$E,2,0)</f>
        <v>Moderado</v>
      </c>
      <c r="H294" s="2">
        <f>VLOOKUP(F294,'[3]CLUSTER_MUNICIPIOS tarifas'!$D:$F,3,0)</f>
        <v>19001</v>
      </c>
      <c r="I294" s="2" t="s">
        <v>313</v>
      </c>
      <c r="J294" s="18">
        <v>45505</v>
      </c>
      <c r="K294" s="8" t="s">
        <v>22</v>
      </c>
      <c r="L294" s="8" t="s">
        <v>23</v>
      </c>
      <c r="M294" s="5"/>
      <c r="N294" s="2">
        <v>6</v>
      </c>
      <c r="O294" s="2"/>
      <c r="P294" s="2"/>
      <c r="Q294" s="2">
        <v>4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>
        <f t="shared" si="10"/>
        <v>10</v>
      </c>
    </row>
    <row r="295" spans="1:29" x14ac:dyDescent="0.2">
      <c r="A295" s="2" t="s">
        <v>359</v>
      </c>
      <c r="B295" s="2" t="s">
        <v>19</v>
      </c>
      <c r="C295" s="27">
        <v>1</v>
      </c>
      <c r="D295" s="2" t="s">
        <v>20</v>
      </c>
      <c r="E295" s="2" t="str">
        <f>VLOOKUP(D295,[1]Comunas!$A:$E,5,0)</f>
        <v>Cauca</v>
      </c>
      <c r="F295" s="7" t="str">
        <f t="shared" ref="F295:F306" si="16">CONCATENATE(E295,D295)</f>
        <v>CaucaPOPAYAN</v>
      </c>
      <c r="G295" s="2" t="str">
        <f>VLOOKUP(F295,'[2]CLUSTER_MUNICIPIOS tarifas'!$D:$E,2,0)</f>
        <v>Moderado</v>
      </c>
      <c r="H295" s="2">
        <f>VLOOKUP(F295,'[3]CLUSTER_MUNICIPIOS tarifas'!$D:$F,3,0)</f>
        <v>19001</v>
      </c>
      <c r="I295" s="1" t="s">
        <v>314</v>
      </c>
      <c r="J295" s="18">
        <v>45536</v>
      </c>
      <c r="K295" s="8" t="s">
        <v>22</v>
      </c>
      <c r="L295" s="8" t="s">
        <v>23</v>
      </c>
      <c r="M295" s="5"/>
      <c r="N295" s="2">
        <v>2</v>
      </c>
      <c r="O295" s="2"/>
      <c r="P295" s="2">
        <v>1</v>
      </c>
      <c r="Q295" s="2">
        <v>1</v>
      </c>
      <c r="R295" s="2">
        <v>2</v>
      </c>
      <c r="S295" s="2"/>
      <c r="T295" s="2">
        <v>1</v>
      </c>
      <c r="U295" s="2"/>
      <c r="V295" s="2"/>
      <c r="W295" s="2"/>
      <c r="X295" s="2"/>
      <c r="Y295" s="2"/>
      <c r="Z295" s="2"/>
      <c r="AA295" s="2"/>
      <c r="AB295" s="2">
        <v>43</v>
      </c>
      <c r="AC295" s="2">
        <f t="shared" si="10"/>
        <v>7</v>
      </c>
    </row>
    <row r="296" spans="1:29" x14ac:dyDescent="0.2">
      <c r="A296" s="2" t="s">
        <v>359</v>
      </c>
      <c r="B296" s="2" t="s">
        <v>360</v>
      </c>
      <c r="C296" s="27">
        <v>1</v>
      </c>
      <c r="D296" s="2" t="s">
        <v>20</v>
      </c>
      <c r="E296" s="2" t="str">
        <f>VLOOKUP(D296,[1]Comunas!$A:$E,5,0)</f>
        <v>Cauca</v>
      </c>
      <c r="F296" s="7" t="str">
        <f t="shared" si="16"/>
        <v>CaucaPOPAYAN</v>
      </c>
      <c r="G296" s="2" t="str">
        <f>VLOOKUP(F296,'[2]CLUSTER_MUNICIPIOS tarifas'!$D:$E,2,0)</f>
        <v>Moderado</v>
      </c>
      <c r="H296" s="2">
        <f>VLOOKUP(F296,'[3]CLUSTER_MUNICIPIOS tarifas'!$D:$F,3,0)</f>
        <v>19001</v>
      </c>
      <c r="I296" s="2" t="s">
        <v>315</v>
      </c>
      <c r="J296" s="18">
        <v>45536</v>
      </c>
      <c r="K296" s="8" t="s">
        <v>22</v>
      </c>
      <c r="L296" s="8" t="s">
        <v>23</v>
      </c>
      <c r="M296" s="5"/>
      <c r="N296" s="2">
        <v>12</v>
      </c>
      <c r="O296" s="2">
        <v>11</v>
      </c>
      <c r="P296" s="2"/>
      <c r="Q296" s="2">
        <v>1</v>
      </c>
      <c r="R296" s="2">
        <v>5</v>
      </c>
      <c r="S296" s="2"/>
      <c r="T296" s="2">
        <v>1</v>
      </c>
      <c r="U296" s="2"/>
      <c r="V296" s="2"/>
      <c r="W296" s="2"/>
      <c r="X296" s="2"/>
      <c r="Y296" s="2"/>
      <c r="Z296" s="2"/>
      <c r="AA296" s="2"/>
      <c r="AB296" s="2"/>
      <c r="AC296" s="2">
        <f t="shared" si="10"/>
        <v>30</v>
      </c>
    </row>
    <row r="297" spans="1:29" x14ac:dyDescent="0.2">
      <c r="A297" s="2" t="s">
        <v>359</v>
      </c>
      <c r="B297" s="2" t="s">
        <v>360</v>
      </c>
      <c r="C297" s="27">
        <v>1</v>
      </c>
      <c r="D297" s="2" t="s">
        <v>20</v>
      </c>
      <c r="E297" s="2" t="str">
        <f>VLOOKUP(D297,[1]Comunas!$A:$E,5,0)</f>
        <v>Cauca</v>
      </c>
      <c r="F297" s="7" t="str">
        <f t="shared" si="16"/>
        <v>CaucaPOPAYAN</v>
      </c>
      <c r="G297" s="2" t="str">
        <f>VLOOKUP(F297,'[2]CLUSTER_MUNICIPIOS tarifas'!$D:$E,2,0)</f>
        <v>Moderado</v>
      </c>
      <c r="H297" s="2">
        <f>VLOOKUP(F297,'[3]CLUSTER_MUNICIPIOS tarifas'!$D:$F,3,0)</f>
        <v>19001</v>
      </c>
      <c r="I297" s="2" t="s">
        <v>316</v>
      </c>
      <c r="J297" s="18">
        <v>45536</v>
      </c>
      <c r="K297" s="8" t="s">
        <v>22</v>
      </c>
      <c r="L297" s="8" t="s">
        <v>23</v>
      </c>
      <c r="M297" s="5"/>
      <c r="N297" s="2">
        <v>21</v>
      </c>
      <c r="O297" s="2">
        <v>11</v>
      </c>
      <c r="P297" s="2"/>
      <c r="Q297" s="2">
        <v>10</v>
      </c>
      <c r="R297" s="2">
        <v>8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>
        <f t="shared" si="10"/>
        <v>50</v>
      </c>
    </row>
    <row r="298" spans="1:29" x14ac:dyDescent="0.2">
      <c r="A298" s="2" t="s">
        <v>359</v>
      </c>
      <c r="B298" s="2" t="s">
        <v>360</v>
      </c>
      <c r="C298" s="27">
        <v>1</v>
      </c>
      <c r="D298" s="2" t="s">
        <v>20</v>
      </c>
      <c r="E298" s="2" t="str">
        <f>VLOOKUP(D298,[1]Comunas!$A:$E,5,0)</f>
        <v>Cauca</v>
      </c>
      <c r="F298" s="7" t="str">
        <f t="shared" si="16"/>
        <v>CaucaPOPAYAN</v>
      </c>
      <c r="G298" s="2" t="str">
        <f>VLOOKUP(F298,'[2]CLUSTER_MUNICIPIOS tarifas'!$D:$E,2,0)</f>
        <v>Moderado</v>
      </c>
      <c r="H298" s="2">
        <f>VLOOKUP(F298,'[3]CLUSTER_MUNICIPIOS tarifas'!$D:$F,3,0)</f>
        <v>19001</v>
      </c>
      <c r="I298" s="2" t="s">
        <v>317</v>
      </c>
      <c r="J298" s="18">
        <v>45536</v>
      </c>
      <c r="K298" s="8" t="s">
        <v>22</v>
      </c>
      <c r="L298" s="8" t="s">
        <v>23</v>
      </c>
      <c r="M298" s="5"/>
      <c r="N298" s="2">
        <v>2</v>
      </c>
      <c r="O298" s="2">
        <v>2</v>
      </c>
      <c r="P298" s="2">
        <v>1</v>
      </c>
      <c r="Q298" s="2">
        <v>1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>
        <v>54</v>
      </c>
      <c r="AC298" s="2">
        <f t="shared" si="10"/>
        <v>6</v>
      </c>
    </row>
    <row r="299" spans="1:29" x14ac:dyDescent="0.2">
      <c r="A299" s="2" t="s">
        <v>359</v>
      </c>
      <c r="B299" s="2" t="s">
        <v>360</v>
      </c>
      <c r="C299" s="27">
        <v>1</v>
      </c>
      <c r="D299" s="2" t="s">
        <v>20</v>
      </c>
      <c r="E299" s="2" t="str">
        <f>VLOOKUP(D299,[1]Comunas!$A:$E,5,0)</f>
        <v>Cauca</v>
      </c>
      <c r="F299" s="7" t="str">
        <f t="shared" si="16"/>
        <v>CaucaPOPAYAN</v>
      </c>
      <c r="G299" s="2" t="str">
        <f>VLOOKUP(F299,'[2]CLUSTER_MUNICIPIOS tarifas'!$D:$E,2,0)</f>
        <v>Moderado</v>
      </c>
      <c r="H299" s="2">
        <f>VLOOKUP(F299,'[3]CLUSTER_MUNICIPIOS tarifas'!$D:$F,3,0)</f>
        <v>19001</v>
      </c>
      <c r="I299" s="2" t="s">
        <v>318</v>
      </c>
      <c r="J299" s="18">
        <v>45536</v>
      </c>
      <c r="K299" s="8" t="s">
        <v>22</v>
      </c>
      <c r="L299" s="8" t="s">
        <v>23</v>
      </c>
      <c r="M299" s="5"/>
      <c r="N299" s="2">
        <v>3</v>
      </c>
      <c r="O299" s="2">
        <v>3</v>
      </c>
      <c r="P299" s="2">
        <v>1</v>
      </c>
      <c r="Q299" s="2">
        <v>3</v>
      </c>
      <c r="R299" s="2">
        <v>2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>
        <f t="shared" si="10"/>
        <v>12</v>
      </c>
    </row>
    <row r="300" spans="1:29" x14ac:dyDescent="0.2">
      <c r="A300" s="2" t="s">
        <v>359</v>
      </c>
      <c r="B300" s="2" t="s">
        <v>360</v>
      </c>
      <c r="C300" s="27">
        <v>1</v>
      </c>
      <c r="D300" s="2" t="s">
        <v>20</v>
      </c>
      <c r="E300" s="2" t="str">
        <f>VLOOKUP(D300,[1]Comunas!$A:$E,5,0)</f>
        <v>Cauca</v>
      </c>
      <c r="F300" s="7" t="str">
        <f t="shared" si="16"/>
        <v>CaucaPOPAYAN</v>
      </c>
      <c r="G300" s="2" t="str">
        <f>VLOOKUP(F300,'[2]CLUSTER_MUNICIPIOS tarifas'!$D:$E,2,0)</f>
        <v>Moderado</v>
      </c>
      <c r="H300" s="2">
        <f>VLOOKUP(F300,'[3]CLUSTER_MUNICIPIOS tarifas'!$D:$F,3,0)</f>
        <v>19001</v>
      </c>
      <c r="I300" s="2" t="s">
        <v>319</v>
      </c>
      <c r="J300" s="18">
        <v>45536</v>
      </c>
      <c r="K300" s="8" t="s">
        <v>22</v>
      </c>
      <c r="L300" s="8" t="s">
        <v>23</v>
      </c>
      <c r="M300" s="5"/>
      <c r="N300" s="2">
        <v>9</v>
      </c>
      <c r="O300" s="2">
        <v>1</v>
      </c>
      <c r="P300" s="2"/>
      <c r="Q300" s="2">
        <v>2</v>
      </c>
      <c r="R300" s="2">
        <v>5</v>
      </c>
      <c r="S300" s="2"/>
      <c r="T300" s="2"/>
      <c r="U300" s="2"/>
      <c r="V300" s="2"/>
      <c r="W300" s="2"/>
      <c r="X300" s="2"/>
      <c r="Y300" s="2"/>
      <c r="Z300" s="2"/>
      <c r="AA300" s="2"/>
      <c r="AB300" s="2">
        <v>65</v>
      </c>
      <c r="AC300" s="2">
        <f t="shared" si="10"/>
        <v>17</v>
      </c>
    </row>
    <row r="301" spans="1:29" x14ac:dyDescent="0.2">
      <c r="A301" s="2" t="s">
        <v>359</v>
      </c>
      <c r="B301" s="2" t="s">
        <v>360</v>
      </c>
      <c r="C301" s="27">
        <v>1</v>
      </c>
      <c r="D301" s="2" t="s">
        <v>20</v>
      </c>
      <c r="E301" s="2" t="str">
        <f>VLOOKUP(D301,[1]Comunas!$A:$E,5,0)</f>
        <v>Cauca</v>
      </c>
      <c r="F301" s="7" t="str">
        <f t="shared" si="16"/>
        <v>CaucaPOPAYAN</v>
      </c>
      <c r="G301" s="2" t="str">
        <f>VLOOKUP(F301,'[2]CLUSTER_MUNICIPIOS tarifas'!$D:$E,2,0)</f>
        <v>Moderado</v>
      </c>
      <c r="H301" s="2">
        <f>VLOOKUP(F301,'[3]CLUSTER_MUNICIPIOS tarifas'!$D:$F,3,0)</f>
        <v>19001</v>
      </c>
      <c r="I301" s="2" t="s">
        <v>320</v>
      </c>
      <c r="J301" s="18">
        <v>45536</v>
      </c>
      <c r="K301" s="8" t="s">
        <v>22</v>
      </c>
      <c r="L301" s="8" t="s">
        <v>23</v>
      </c>
      <c r="M301" s="5"/>
      <c r="N301" s="2">
        <v>13</v>
      </c>
      <c r="O301" s="2">
        <v>2</v>
      </c>
      <c r="P301" s="2">
        <v>3</v>
      </c>
      <c r="Q301" s="2">
        <v>2</v>
      </c>
      <c r="R301" s="2">
        <v>5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>
        <f t="shared" si="10"/>
        <v>25</v>
      </c>
    </row>
    <row r="302" spans="1:29" x14ac:dyDescent="0.2">
      <c r="A302" s="2" t="s">
        <v>359</v>
      </c>
      <c r="B302" s="2" t="s">
        <v>360</v>
      </c>
      <c r="C302" s="27">
        <v>1</v>
      </c>
      <c r="D302" s="2" t="s">
        <v>20</v>
      </c>
      <c r="E302" s="2" t="str">
        <f>VLOOKUP(D302,[1]Comunas!$A:$E,5,0)</f>
        <v>Cauca</v>
      </c>
      <c r="F302" s="7" t="str">
        <f t="shared" si="16"/>
        <v>CaucaPOPAYAN</v>
      </c>
      <c r="G302" s="2" t="str">
        <f>VLOOKUP(F302,'[2]CLUSTER_MUNICIPIOS tarifas'!$D:$E,2,0)</f>
        <v>Moderado</v>
      </c>
      <c r="H302" s="2">
        <f>VLOOKUP(F302,'[3]CLUSTER_MUNICIPIOS tarifas'!$D:$F,3,0)</f>
        <v>19001</v>
      </c>
      <c r="I302" s="2" t="s">
        <v>321</v>
      </c>
      <c r="J302" s="18">
        <v>45536</v>
      </c>
      <c r="K302" s="8" t="s">
        <v>22</v>
      </c>
      <c r="L302" s="8" t="s">
        <v>23</v>
      </c>
      <c r="M302" s="5"/>
      <c r="N302" s="2">
        <v>4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>
        <v>87</v>
      </c>
      <c r="AC302" s="2">
        <f t="shared" si="10"/>
        <v>4</v>
      </c>
    </row>
    <row r="303" spans="1:29" x14ac:dyDescent="0.2">
      <c r="A303" s="2" t="s">
        <v>359</v>
      </c>
      <c r="B303" s="2" t="s">
        <v>360</v>
      </c>
      <c r="C303" s="27">
        <v>1</v>
      </c>
      <c r="D303" s="2" t="s">
        <v>20</v>
      </c>
      <c r="E303" s="2" t="str">
        <f>VLOOKUP(D303,[1]Comunas!$A:$E,5,0)</f>
        <v>Cauca</v>
      </c>
      <c r="F303" s="7" t="str">
        <f t="shared" si="16"/>
        <v>CaucaPOPAYAN</v>
      </c>
      <c r="G303" s="2" t="str">
        <f>VLOOKUP(F303,'[2]CLUSTER_MUNICIPIOS tarifas'!$D:$E,2,0)</f>
        <v>Moderado</v>
      </c>
      <c r="H303" s="2">
        <f>VLOOKUP(F303,'[3]CLUSTER_MUNICIPIOS tarifas'!$D:$F,3,0)</f>
        <v>19001</v>
      </c>
      <c r="I303" s="2" t="s">
        <v>322</v>
      </c>
      <c r="J303" s="18">
        <v>45536</v>
      </c>
      <c r="K303" s="8" t="s">
        <v>22</v>
      </c>
      <c r="L303" s="8" t="s">
        <v>23</v>
      </c>
      <c r="M303" s="5"/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>
        <f t="shared" si="10"/>
        <v>1</v>
      </c>
    </row>
    <row r="304" spans="1:29" x14ac:dyDescent="0.2">
      <c r="A304" s="2" t="s">
        <v>359</v>
      </c>
      <c r="B304" s="2" t="s">
        <v>360</v>
      </c>
      <c r="C304" s="27">
        <v>1</v>
      </c>
      <c r="D304" s="2" t="s">
        <v>20</v>
      </c>
      <c r="E304" s="2" t="str">
        <f>VLOOKUP(D304,[1]Comunas!$A:$E,5,0)</f>
        <v>Cauca</v>
      </c>
      <c r="F304" s="7" t="str">
        <f t="shared" si="16"/>
        <v>CaucaPOPAYAN</v>
      </c>
      <c r="G304" s="2" t="str">
        <f>VLOOKUP(F304,'[2]CLUSTER_MUNICIPIOS tarifas'!$D:$E,2,0)</f>
        <v>Moderado</v>
      </c>
      <c r="H304" s="2">
        <f>VLOOKUP(F304,'[3]CLUSTER_MUNICIPIOS tarifas'!$D:$F,3,0)</f>
        <v>19001</v>
      </c>
      <c r="I304" s="2" t="s">
        <v>323</v>
      </c>
      <c r="J304" s="18">
        <v>45536</v>
      </c>
      <c r="K304" s="8" t="s">
        <v>22</v>
      </c>
      <c r="L304" s="8" t="s">
        <v>23</v>
      </c>
      <c r="M304" s="5"/>
      <c r="N304" s="2">
        <v>5</v>
      </c>
      <c r="O304" s="2">
        <v>1</v>
      </c>
      <c r="P304" s="2"/>
      <c r="Q304" s="2">
        <v>2</v>
      </c>
      <c r="R304" s="2">
        <v>8</v>
      </c>
      <c r="S304" s="2"/>
      <c r="T304" s="2">
        <v>2</v>
      </c>
      <c r="U304" s="2"/>
      <c r="V304" s="2"/>
      <c r="W304" s="2"/>
      <c r="X304" s="2"/>
      <c r="Y304" s="2"/>
      <c r="Z304" s="2"/>
      <c r="AA304" s="2"/>
      <c r="AB304" s="2">
        <v>23</v>
      </c>
      <c r="AC304" s="2">
        <f t="shared" si="10"/>
        <v>18</v>
      </c>
    </row>
    <row r="305" spans="1:29" x14ac:dyDescent="0.2">
      <c r="A305" s="2" t="s">
        <v>359</v>
      </c>
      <c r="B305" s="2" t="s">
        <v>360</v>
      </c>
      <c r="C305" s="27">
        <v>1</v>
      </c>
      <c r="D305" s="2" t="s">
        <v>20</v>
      </c>
      <c r="E305" s="2" t="str">
        <f>VLOOKUP(D305,[1]Comunas!$A:$E,5,0)</f>
        <v>Cauca</v>
      </c>
      <c r="F305" s="7" t="str">
        <f t="shared" si="16"/>
        <v>CaucaPOPAYAN</v>
      </c>
      <c r="G305" s="2" t="str">
        <f>VLOOKUP(F305,'[2]CLUSTER_MUNICIPIOS tarifas'!$D:$E,2,0)</f>
        <v>Moderado</v>
      </c>
      <c r="H305" s="2">
        <f>VLOOKUP(F305,'[3]CLUSTER_MUNICIPIOS tarifas'!$D:$F,3,0)</f>
        <v>19001</v>
      </c>
      <c r="I305" s="2" t="s">
        <v>324</v>
      </c>
      <c r="J305" s="18">
        <v>45536</v>
      </c>
      <c r="K305" s="8" t="s">
        <v>22</v>
      </c>
      <c r="L305" s="8" t="s">
        <v>23</v>
      </c>
      <c r="M305" s="5"/>
      <c r="N305" s="2">
        <v>18</v>
      </c>
      <c r="O305" s="2">
        <v>2</v>
      </c>
      <c r="P305" s="2">
        <v>2</v>
      </c>
      <c r="Q305" s="2">
        <v>13</v>
      </c>
      <c r="R305" s="2">
        <v>13</v>
      </c>
      <c r="S305" s="2"/>
      <c r="T305" s="2">
        <v>2</v>
      </c>
      <c r="U305" s="2"/>
      <c r="V305" s="2"/>
      <c r="W305" s="2"/>
      <c r="X305" s="2"/>
      <c r="Y305" s="2"/>
      <c r="Z305" s="2"/>
      <c r="AA305" s="2"/>
      <c r="AB305" s="2"/>
      <c r="AC305" s="2">
        <f t="shared" si="10"/>
        <v>50</v>
      </c>
    </row>
    <row r="306" spans="1:29" x14ac:dyDescent="0.2">
      <c r="A306" s="2" t="s">
        <v>359</v>
      </c>
      <c r="B306" s="2" t="s">
        <v>360</v>
      </c>
      <c r="C306" s="27">
        <v>1</v>
      </c>
      <c r="D306" s="2" t="s">
        <v>20</v>
      </c>
      <c r="E306" s="2" t="str">
        <f>VLOOKUP(D306,[1]Comunas!$A:$E,5,0)</f>
        <v>Cauca</v>
      </c>
      <c r="F306" s="7" t="str">
        <f t="shared" si="16"/>
        <v>CaucaPOPAYAN</v>
      </c>
      <c r="G306" s="2" t="str">
        <f>VLOOKUP(F306,'[2]CLUSTER_MUNICIPIOS tarifas'!$D:$E,2,0)</f>
        <v>Moderado</v>
      </c>
      <c r="H306" s="2">
        <f>VLOOKUP(F306,'[3]CLUSTER_MUNICIPIOS tarifas'!$D:$F,3,0)</f>
        <v>19001</v>
      </c>
      <c r="I306" s="2" t="s">
        <v>325</v>
      </c>
      <c r="J306" s="18">
        <v>45536</v>
      </c>
      <c r="K306" s="8" t="s">
        <v>22</v>
      </c>
      <c r="L306" s="8" t="s">
        <v>23</v>
      </c>
      <c r="M306" s="5"/>
      <c r="N306" s="2">
        <v>4</v>
      </c>
      <c r="O306" s="2">
        <v>1</v>
      </c>
      <c r="P306" s="2">
        <v>2</v>
      </c>
      <c r="Q306" s="2">
        <v>3</v>
      </c>
      <c r="R306" s="2">
        <v>1</v>
      </c>
      <c r="S306" s="2"/>
      <c r="T306" s="2"/>
      <c r="U306" s="2"/>
      <c r="V306" s="2"/>
      <c r="W306" s="2"/>
      <c r="X306" s="2"/>
      <c r="Y306" s="2"/>
      <c r="Z306" s="2"/>
      <c r="AA306" s="2"/>
      <c r="AB306" s="2">
        <v>12</v>
      </c>
      <c r="AC306" s="2">
        <f t="shared" si="10"/>
        <v>11</v>
      </c>
    </row>
    <row r="307" spans="1:29" x14ac:dyDescent="0.2">
      <c r="A307" s="2" t="s">
        <v>359</v>
      </c>
      <c r="B307" s="2" t="s">
        <v>360</v>
      </c>
      <c r="C307" s="27">
        <v>1</v>
      </c>
      <c r="D307" s="2" t="s">
        <v>20</v>
      </c>
      <c r="E307" s="2" t="str">
        <f>VLOOKUP(D307,[1]Comunas!$A:$E,5,0)</f>
        <v>Cauca</v>
      </c>
      <c r="F307" s="7" t="str">
        <f t="shared" ref="F307:F316" si="17">CONCATENATE(E307,D307)</f>
        <v>CaucaPOPAYAN</v>
      </c>
      <c r="G307" s="2" t="str">
        <f>VLOOKUP(F307,'[2]CLUSTER_MUNICIPIOS tarifas'!$D:$E,2,0)</f>
        <v>Moderado</v>
      </c>
      <c r="H307" s="2">
        <f>VLOOKUP(F307,'[3]CLUSTER_MUNICIPIOS tarifas'!$D:$F,3,0)</f>
        <v>19001</v>
      </c>
      <c r="I307" s="2" t="s">
        <v>326</v>
      </c>
      <c r="J307" s="18">
        <v>45566</v>
      </c>
      <c r="K307" s="8" t="s">
        <v>22</v>
      </c>
      <c r="L307" s="8" t="s">
        <v>23</v>
      </c>
      <c r="M307" s="5"/>
      <c r="N307" s="2"/>
      <c r="O307" s="2"/>
      <c r="P307" s="2"/>
      <c r="Q307" s="2">
        <v>1</v>
      </c>
      <c r="R307" s="2">
        <v>2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>
        <f t="shared" si="10"/>
        <v>3</v>
      </c>
    </row>
    <row r="308" spans="1:29" x14ac:dyDescent="0.2">
      <c r="A308" s="2" t="s">
        <v>359</v>
      </c>
      <c r="B308" s="2" t="s">
        <v>360</v>
      </c>
      <c r="C308" s="27">
        <v>1</v>
      </c>
      <c r="D308" s="2" t="s">
        <v>20</v>
      </c>
      <c r="E308" s="2" t="str">
        <f>VLOOKUP(D308,[1]Comunas!$A:$E,5,0)</f>
        <v>Cauca</v>
      </c>
      <c r="F308" s="7" t="str">
        <f t="shared" si="17"/>
        <v>CaucaPOPAYAN</v>
      </c>
      <c r="G308" s="2" t="str">
        <f>VLOOKUP(F308,'[2]CLUSTER_MUNICIPIOS tarifas'!$D:$E,2,0)</f>
        <v>Moderado</v>
      </c>
      <c r="H308" s="2">
        <f>VLOOKUP(F308,'[3]CLUSTER_MUNICIPIOS tarifas'!$D:$F,3,0)</f>
        <v>19001</v>
      </c>
      <c r="I308" s="2" t="s">
        <v>327</v>
      </c>
      <c r="J308" s="18">
        <v>45566</v>
      </c>
      <c r="K308" s="8" t="s">
        <v>22</v>
      </c>
      <c r="L308" s="8" t="s">
        <v>23</v>
      </c>
      <c r="M308" s="5"/>
      <c r="N308" s="2">
        <v>2</v>
      </c>
      <c r="O308" s="2"/>
      <c r="P308" s="2"/>
      <c r="Q308" s="2">
        <v>1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>
        <v>21</v>
      </c>
      <c r="AC308" s="2">
        <f t="shared" si="10"/>
        <v>3</v>
      </c>
    </row>
    <row r="309" spans="1:29" x14ac:dyDescent="0.2">
      <c r="A309" s="2" t="s">
        <v>359</v>
      </c>
      <c r="B309" s="2" t="s">
        <v>360</v>
      </c>
      <c r="C309" s="27">
        <v>1</v>
      </c>
      <c r="D309" s="2" t="s">
        <v>20</v>
      </c>
      <c r="E309" s="2" t="str">
        <f>VLOOKUP(D309,[1]Comunas!$A:$E,5,0)</f>
        <v>Cauca</v>
      </c>
      <c r="F309" s="7" t="str">
        <f t="shared" si="17"/>
        <v>CaucaPOPAYAN</v>
      </c>
      <c r="G309" s="2" t="str">
        <f>VLOOKUP(F309,'[2]CLUSTER_MUNICIPIOS tarifas'!$D:$E,2,0)</f>
        <v>Moderado</v>
      </c>
      <c r="H309" s="2">
        <f>VLOOKUP(F309,'[3]CLUSTER_MUNICIPIOS tarifas'!$D:$F,3,0)</f>
        <v>19001</v>
      </c>
      <c r="I309" s="2" t="s">
        <v>328</v>
      </c>
      <c r="J309" s="18">
        <v>45566</v>
      </c>
      <c r="K309" s="8" t="s">
        <v>22</v>
      </c>
      <c r="L309" s="8" t="s">
        <v>23</v>
      </c>
      <c r="M309" s="5"/>
      <c r="N309" s="2">
        <v>11</v>
      </c>
      <c r="O309" s="2">
        <v>2</v>
      </c>
      <c r="P309" s="2"/>
      <c r="Q309" s="2"/>
      <c r="R309" s="2">
        <v>5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>
        <f t="shared" si="10"/>
        <v>18</v>
      </c>
    </row>
    <row r="310" spans="1:29" x14ac:dyDescent="0.2">
      <c r="A310" s="2" t="s">
        <v>359</v>
      </c>
      <c r="B310" s="2" t="s">
        <v>360</v>
      </c>
      <c r="C310" s="27">
        <v>1</v>
      </c>
      <c r="D310" s="2" t="s">
        <v>20</v>
      </c>
      <c r="E310" s="2" t="str">
        <f>VLOOKUP(D310,[1]Comunas!$A:$E,5,0)</f>
        <v>Cauca</v>
      </c>
      <c r="F310" s="7" t="str">
        <f t="shared" si="17"/>
        <v>CaucaPOPAYAN</v>
      </c>
      <c r="G310" s="2" t="str">
        <f>VLOOKUP(F310,'[2]CLUSTER_MUNICIPIOS tarifas'!$D:$E,2,0)</f>
        <v>Moderado</v>
      </c>
      <c r="H310" s="2">
        <f>VLOOKUP(F310,'[3]CLUSTER_MUNICIPIOS tarifas'!$D:$F,3,0)</f>
        <v>19001</v>
      </c>
      <c r="I310" s="2" t="s">
        <v>329</v>
      </c>
      <c r="J310" s="18">
        <v>45566</v>
      </c>
      <c r="K310" s="8" t="s">
        <v>22</v>
      </c>
      <c r="L310" s="8" t="s">
        <v>23</v>
      </c>
      <c r="M310" s="5"/>
      <c r="N310" s="2">
        <v>7</v>
      </c>
      <c r="O310" s="2">
        <v>5</v>
      </c>
      <c r="P310" s="2"/>
      <c r="Q310" s="2">
        <v>6</v>
      </c>
      <c r="R310" s="2">
        <v>2</v>
      </c>
      <c r="S310" s="2"/>
      <c r="T310" s="2">
        <v>2</v>
      </c>
      <c r="U310" s="2"/>
      <c r="V310" s="2"/>
      <c r="W310" s="2"/>
      <c r="X310" s="2"/>
      <c r="Y310" s="2"/>
      <c r="Z310" s="2"/>
      <c r="AA310" s="2"/>
      <c r="AB310" s="2">
        <v>98</v>
      </c>
      <c r="AC310" s="2">
        <f t="shared" si="10"/>
        <v>22</v>
      </c>
    </row>
    <row r="311" spans="1:29" x14ac:dyDescent="0.2">
      <c r="A311" s="2" t="s">
        <v>359</v>
      </c>
      <c r="B311" s="2" t="s">
        <v>360</v>
      </c>
      <c r="C311" s="27">
        <v>1</v>
      </c>
      <c r="D311" s="2" t="s">
        <v>20</v>
      </c>
      <c r="E311" s="2" t="str">
        <f>VLOOKUP(D311,[1]Comunas!$A:$E,5,0)</f>
        <v>Cauca</v>
      </c>
      <c r="F311" s="7" t="str">
        <f t="shared" si="17"/>
        <v>CaucaPOPAYAN</v>
      </c>
      <c r="G311" s="2" t="str">
        <f>VLOOKUP(F311,'[2]CLUSTER_MUNICIPIOS tarifas'!$D:$E,2,0)</f>
        <v>Moderado</v>
      </c>
      <c r="H311" s="2">
        <f>VLOOKUP(F311,'[3]CLUSTER_MUNICIPIOS tarifas'!$D:$F,3,0)</f>
        <v>19001</v>
      </c>
      <c r="I311" s="2" t="s">
        <v>330</v>
      </c>
      <c r="J311" s="18">
        <v>45566</v>
      </c>
      <c r="K311" s="8" t="s">
        <v>22</v>
      </c>
      <c r="L311" s="8" t="s">
        <v>23</v>
      </c>
      <c r="M311" s="5"/>
      <c r="N311" s="2">
        <v>10</v>
      </c>
      <c r="O311" s="2">
        <v>2</v>
      </c>
      <c r="P311" s="2"/>
      <c r="Q311" s="2">
        <v>1</v>
      </c>
      <c r="R311" s="2">
        <v>6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>
        <f t="shared" si="10"/>
        <v>19</v>
      </c>
    </row>
    <row r="312" spans="1:29" x14ac:dyDescent="0.2">
      <c r="A312" s="2" t="s">
        <v>359</v>
      </c>
      <c r="B312" s="2" t="s">
        <v>360</v>
      </c>
      <c r="C312" s="27">
        <v>1</v>
      </c>
      <c r="D312" s="2" t="s">
        <v>20</v>
      </c>
      <c r="E312" s="2" t="str">
        <f>VLOOKUP(D312,[1]Comunas!$A:$E,5,0)</f>
        <v>Cauca</v>
      </c>
      <c r="F312" s="7" t="str">
        <f t="shared" si="17"/>
        <v>CaucaPOPAYAN</v>
      </c>
      <c r="G312" s="2" t="str">
        <f>VLOOKUP(F312,'[2]CLUSTER_MUNICIPIOS tarifas'!$D:$E,2,0)</f>
        <v>Moderado</v>
      </c>
      <c r="H312" s="2">
        <f>VLOOKUP(F312,'[3]CLUSTER_MUNICIPIOS tarifas'!$D:$F,3,0)</f>
        <v>19001</v>
      </c>
      <c r="I312" s="2" t="s">
        <v>331</v>
      </c>
      <c r="J312" s="18">
        <v>45566</v>
      </c>
      <c r="K312" s="8" t="s">
        <v>22</v>
      </c>
      <c r="L312" s="8" t="s">
        <v>23</v>
      </c>
      <c r="M312" s="5"/>
      <c r="N312" s="2">
        <v>5</v>
      </c>
      <c r="O312" s="2">
        <v>2</v>
      </c>
      <c r="P312" s="2"/>
      <c r="Q312" s="2"/>
      <c r="R312" s="2"/>
      <c r="S312" s="2"/>
      <c r="T312" s="2">
        <v>1</v>
      </c>
      <c r="U312" s="2"/>
      <c r="V312" s="2"/>
      <c r="W312" s="2"/>
      <c r="X312" s="2"/>
      <c r="Y312" s="2"/>
      <c r="Z312" s="2"/>
      <c r="AA312" s="2"/>
      <c r="AB312" s="2">
        <v>78</v>
      </c>
      <c r="AC312" s="2">
        <f t="shared" si="10"/>
        <v>8</v>
      </c>
    </row>
    <row r="313" spans="1:29" x14ac:dyDescent="0.2">
      <c r="A313" s="2" t="s">
        <v>359</v>
      </c>
      <c r="B313" s="2" t="s">
        <v>360</v>
      </c>
      <c r="C313" s="27">
        <v>1</v>
      </c>
      <c r="D313" s="2" t="s">
        <v>20</v>
      </c>
      <c r="E313" s="2" t="str">
        <f>VLOOKUP(D313,[1]Comunas!$A:$E,5,0)</f>
        <v>Cauca</v>
      </c>
      <c r="F313" s="7" t="str">
        <f t="shared" si="17"/>
        <v>CaucaPOPAYAN</v>
      </c>
      <c r="G313" s="2" t="str">
        <f>VLOOKUP(F313,'[2]CLUSTER_MUNICIPIOS tarifas'!$D:$E,2,0)</f>
        <v>Moderado</v>
      </c>
      <c r="H313" s="2">
        <f>VLOOKUP(F313,'[3]CLUSTER_MUNICIPIOS tarifas'!$D:$F,3,0)</f>
        <v>19001</v>
      </c>
      <c r="I313" s="2" t="s">
        <v>332</v>
      </c>
      <c r="J313" s="18">
        <v>45566</v>
      </c>
      <c r="K313" s="8" t="s">
        <v>22</v>
      </c>
      <c r="L313" s="8" t="s">
        <v>23</v>
      </c>
      <c r="M313" s="5"/>
      <c r="N313" s="2">
        <v>5</v>
      </c>
      <c r="O313" s="2"/>
      <c r="P313" s="2"/>
      <c r="Q313" s="2">
        <v>3</v>
      </c>
      <c r="R313" s="2">
        <v>3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>
        <f t="shared" si="10"/>
        <v>11</v>
      </c>
    </row>
    <row r="314" spans="1:29" x14ac:dyDescent="0.2">
      <c r="A314" s="2" t="s">
        <v>359</v>
      </c>
      <c r="B314" s="2" t="s">
        <v>360</v>
      </c>
      <c r="C314" s="27">
        <v>1</v>
      </c>
      <c r="D314" s="2" t="s">
        <v>20</v>
      </c>
      <c r="E314" s="2" t="str">
        <f>VLOOKUP(D314,[1]Comunas!$A:$E,5,0)</f>
        <v>Cauca</v>
      </c>
      <c r="F314" s="7" t="str">
        <f t="shared" si="17"/>
        <v>CaucaPOPAYAN</v>
      </c>
      <c r="G314" s="2" t="str">
        <f>VLOOKUP(F314,'[2]CLUSTER_MUNICIPIOS tarifas'!$D:$E,2,0)</f>
        <v>Moderado</v>
      </c>
      <c r="H314" s="2">
        <f>VLOOKUP(F314,'[3]CLUSTER_MUNICIPIOS tarifas'!$D:$F,3,0)</f>
        <v>19001</v>
      </c>
      <c r="I314" s="2" t="s">
        <v>333</v>
      </c>
      <c r="J314" s="18">
        <v>45566</v>
      </c>
      <c r="K314" s="8" t="s">
        <v>22</v>
      </c>
      <c r="L314" s="8" t="s">
        <v>23</v>
      </c>
      <c r="M314" s="5"/>
      <c r="N314" s="2">
        <v>2</v>
      </c>
      <c r="O314" s="2"/>
      <c r="P314" s="2"/>
      <c r="Q314" s="2">
        <v>2</v>
      </c>
      <c r="R314" s="2">
        <v>2</v>
      </c>
      <c r="S314" s="2"/>
      <c r="T314" s="2"/>
      <c r="U314" s="2"/>
      <c r="V314" s="2"/>
      <c r="W314" s="2"/>
      <c r="X314" s="2"/>
      <c r="Y314" s="2"/>
      <c r="Z314" s="2"/>
      <c r="AA314" s="2"/>
      <c r="AB314" s="2">
        <v>76</v>
      </c>
      <c r="AC314" s="2">
        <f t="shared" si="10"/>
        <v>6</v>
      </c>
    </row>
    <row r="315" spans="1:29" x14ac:dyDescent="0.2">
      <c r="A315" s="2" t="s">
        <v>359</v>
      </c>
      <c r="B315" s="2" t="s">
        <v>360</v>
      </c>
      <c r="C315" s="27">
        <v>1</v>
      </c>
      <c r="D315" s="2" t="s">
        <v>20</v>
      </c>
      <c r="E315" s="2" t="str">
        <f>VLOOKUP(D315,[1]Comunas!$A:$E,5,0)</f>
        <v>Cauca</v>
      </c>
      <c r="F315" s="7" t="str">
        <f t="shared" si="17"/>
        <v>CaucaPOPAYAN</v>
      </c>
      <c r="G315" s="2" t="str">
        <f>VLOOKUP(F315,'[2]CLUSTER_MUNICIPIOS tarifas'!$D:$E,2,0)</f>
        <v>Moderado</v>
      </c>
      <c r="H315" s="2">
        <f>VLOOKUP(F315,'[3]CLUSTER_MUNICIPIOS tarifas'!$D:$F,3,0)</f>
        <v>19001</v>
      </c>
      <c r="I315" s="2" t="s">
        <v>334</v>
      </c>
      <c r="J315" s="18">
        <v>45566</v>
      </c>
      <c r="K315" s="8" t="s">
        <v>22</v>
      </c>
      <c r="L315" s="8" t="s">
        <v>23</v>
      </c>
      <c r="M315" s="5"/>
      <c r="N315" s="2"/>
      <c r="O315" s="2">
        <v>45</v>
      </c>
      <c r="P315" s="2"/>
      <c r="Q315" s="2">
        <v>1</v>
      </c>
      <c r="R315" s="2">
        <v>4</v>
      </c>
      <c r="S315" s="2"/>
      <c r="T315" s="2">
        <v>12</v>
      </c>
      <c r="U315" s="2"/>
      <c r="V315" s="2"/>
      <c r="W315" s="2"/>
      <c r="X315" s="2"/>
      <c r="Y315" s="2"/>
      <c r="Z315" s="2"/>
      <c r="AA315" s="2"/>
      <c r="AB315" s="2"/>
      <c r="AC315" s="2">
        <f t="shared" si="10"/>
        <v>62</v>
      </c>
    </row>
    <row r="316" spans="1:29" x14ac:dyDescent="0.2">
      <c r="A316" s="2" t="s">
        <v>359</v>
      </c>
      <c r="B316" s="2" t="s">
        <v>360</v>
      </c>
      <c r="C316" s="27">
        <v>1</v>
      </c>
      <c r="D316" s="2" t="s">
        <v>20</v>
      </c>
      <c r="E316" s="2" t="str">
        <f>VLOOKUP(D316,[1]Comunas!$A:$E,5,0)</f>
        <v>Cauca</v>
      </c>
      <c r="F316" s="7" t="str">
        <f t="shared" si="17"/>
        <v>CaucaPOPAYAN</v>
      </c>
      <c r="G316" s="2" t="str">
        <f>VLOOKUP(F316,'[2]CLUSTER_MUNICIPIOS tarifas'!$D:$E,2,0)</f>
        <v>Moderado</v>
      </c>
      <c r="H316" s="2">
        <f>VLOOKUP(F316,'[3]CLUSTER_MUNICIPIOS tarifas'!$D:$F,3,0)</f>
        <v>19001</v>
      </c>
      <c r="I316" s="2" t="s">
        <v>335</v>
      </c>
      <c r="J316" s="18">
        <v>45566</v>
      </c>
      <c r="K316" s="8" t="s">
        <v>22</v>
      </c>
      <c r="L316" s="8" t="s">
        <v>23</v>
      </c>
      <c r="M316" s="5"/>
      <c r="N316" s="2">
        <v>6</v>
      </c>
      <c r="O316" s="2"/>
      <c r="P316" s="2"/>
      <c r="Q316" s="2"/>
      <c r="R316" s="2">
        <v>2</v>
      </c>
      <c r="S316" s="2"/>
      <c r="T316" s="2"/>
      <c r="U316" s="2"/>
      <c r="V316" s="2"/>
      <c r="W316" s="2"/>
      <c r="X316" s="2"/>
      <c r="Y316" s="2"/>
      <c r="Z316" s="2"/>
      <c r="AA316" s="2"/>
      <c r="AB316" s="2">
        <v>54</v>
      </c>
      <c r="AC316" s="2">
        <f t="shared" si="10"/>
        <v>8</v>
      </c>
    </row>
    <row r="317" spans="1:29" x14ac:dyDescent="0.2">
      <c r="A317" s="2" t="s">
        <v>359</v>
      </c>
      <c r="B317" s="2" t="s">
        <v>360</v>
      </c>
      <c r="C317" s="27">
        <v>1</v>
      </c>
      <c r="D317" s="2" t="s">
        <v>20</v>
      </c>
      <c r="E317" s="2" t="str">
        <f>VLOOKUP(D317,[1]Comunas!$A:$E,5,0)</f>
        <v>Cauca</v>
      </c>
      <c r="F317" s="7" t="str">
        <f t="shared" ref="F317:F320" si="18">CONCATENATE(E317,D317)</f>
        <v>CaucaPOPAYAN</v>
      </c>
      <c r="G317" s="2" t="str">
        <f>VLOOKUP(F317,'[2]CLUSTER_MUNICIPIOS tarifas'!$D:$E,2,0)</f>
        <v>Moderado</v>
      </c>
      <c r="H317" s="2">
        <f>VLOOKUP(F317,'[3]CLUSTER_MUNICIPIOS tarifas'!$D:$F,3,0)</f>
        <v>19001</v>
      </c>
      <c r="I317" s="2" t="s">
        <v>336</v>
      </c>
      <c r="J317" s="18">
        <v>45597</v>
      </c>
      <c r="K317" s="8" t="s">
        <v>22</v>
      </c>
      <c r="L317" s="8" t="s">
        <v>23</v>
      </c>
      <c r="M317" s="5"/>
      <c r="N317" s="2">
        <v>15</v>
      </c>
      <c r="O317" s="2">
        <v>1</v>
      </c>
      <c r="P317" s="2"/>
      <c r="Q317" s="2">
        <v>4</v>
      </c>
      <c r="R317" s="2">
        <v>5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>
        <f t="shared" si="10"/>
        <v>25</v>
      </c>
    </row>
    <row r="318" spans="1:29" x14ac:dyDescent="0.2">
      <c r="A318" s="2" t="s">
        <v>359</v>
      </c>
      <c r="B318" s="2" t="s">
        <v>360</v>
      </c>
      <c r="C318" s="27">
        <v>1</v>
      </c>
      <c r="D318" s="2" t="s">
        <v>20</v>
      </c>
      <c r="E318" s="2" t="str">
        <f>VLOOKUP(D318,[1]Comunas!$A:$E,5,0)</f>
        <v>Cauca</v>
      </c>
      <c r="F318" s="7" t="str">
        <f t="shared" si="18"/>
        <v>CaucaPOPAYAN</v>
      </c>
      <c r="G318" s="2" t="str">
        <f>VLOOKUP(F318,'[2]CLUSTER_MUNICIPIOS tarifas'!$D:$E,2,0)</f>
        <v>Moderado</v>
      </c>
      <c r="H318" s="2">
        <f>VLOOKUP(F318,'[3]CLUSTER_MUNICIPIOS tarifas'!$D:$F,3,0)</f>
        <v>19001</v>
      </c>
      <c r="I318" s="2" t="s">
        <v>337</v>
      </c>
      <c r="J318" s="18">
        <v>45597</v>
      </c>
      <c r="K318" s="8" t="s">
        <v>22</v>
      </c>
      <c r="L318" s="8" t="s">
        <v>23</v>
      </c>
      <c r="M318" s="5"/>
      <c r="N318" s="2">
        <v>18</v>
      </c>
      <c r="O318" s="2">
        <v>1</v>
      </c>
      <c r="P318" s="2">
        <v>2</v>
      </c>
      <c r="Q318" s="2">
        <v>18</v>
      </c>
      <c r="R318" s="2">
        <v>3</v>
      </c>
      <c r="S318" s="2"/>
      <c r="T318" s="2"/>
      <c r="U318" s="2"/>
      <c r="V318" s="2"/>
      <c r="W318" s="2"/>
      <c r="X318" s="2"/>
      <c r="Y318" s="2"/>
      <c r="Z318" s="2"/>
      <c r="AA318" s="2"/>
      <c r="AB318" s="2">
        <v>43</v>
      </c>
      <c r="AC318" s="2">
        <f t="shared" si="10"/>
        <v>42</v>
      </c>
    </row>
    <row r="319" spans="1:29" x14ac:dyDescent="0.2">
      <c r="A319" s="2" t="s">
        <v>359</v>
      </c>
      <c r="B319" s="2" t="s">
        <v>360</v>
      </c>
      <c r="C319" s="27">
        <v>1</v>
      </c>
      <c r="D319" s="2" t="s">
        <v>20</v>
      </c>
      <c r="E319" s="2" t="str">
        <f>VLOOKUP(D319,[1]Comunas!$A:$E,5,0)</f>
        <v>Cauca</v>
      </c>
      <c r="F319" s="7" t="str">
        <f t="shared" si="18"/>
        <v>CaucaPOPAYAN</v>
      </c>
      <c r="G319" s="2" t="str">
        <f>VLOOKUP(F319,'[2]CLUSTER_MUNICIPIOS tarifas'!$D:$E,2,0)</f>
        <v>Moderado</v>
      </c>
      <c r="H319" s="2">
        <f>VLOOKUP(F319,'[3]CLUSTER_MUNICIPIOS tarifas'!$D:$F,3,0)</f>
        <v>19001</v>
      </c>
      <c r="I319" s="2" t="s">
        <v>338</v>
      </c>
      <c r="J319" s="18">
        <v>45597</v>
      </c>
      <c r="K319" s="8" t="s">
        <v>22</v>
      </c>
      <c r="L319" s="8" t="s">
        <v>23</v>
      </c>
      <c r="M319" s="5"/>
      <c r="N319" s="2"/>
      <c r="O319" s="2"/>
      <c r="P319" s="2"/>
      <c r="Q319" s="2">
        <v>2</v>
      </c>
      <c r="R319" s="2">
        <v>1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>
        <f t="shared" si="10"/>
        <v>3</v>
      </c>
    </row>
    <row r="320" spans="1:29" x14ac:dyDescent="0.2">
      <c r="A320" s="2" t="s">
        <v>359</v>
      </c>
      <c r="B320" s="2" t="s">
        <v>360</v>
      </c>
      <c r="C320" s="27">
        <v>1</v>
      </c>
      <c r="D320" s="2" t="s">
        <v>20</v>
      </c>
      <c r="E320" s="2" t="str">
        <f>VLOOKUP(D320,[1]Comunas!$A:$E,5,0)</f>
        <v>Cauca</v>
      </c>
      <c r="F320" s="7" t="str">
        <f t="shared" si="18"/>
        <v>CaucaPOPAYAN</v>
      </c>
      <c r="G320" s="2" t="str">
        <f>VLOOKUP(F320,'[2]CLUSTER_MUNICIPIOS tarifas'!$D:$E,2,0)</f>
        <v>Moderado</v>
      </c>
      <c r="H320" s="2">
        <f>VLOOKUP(F320,'[3]CLUSTER_MUNICIPIOS tarifas'!$D:$F,3,0)</f>
        <v>19001</v>
      </c>
      <c r="I320" s="2" t="s">
        <v>339</v>
      </c>
      <c r="J320" s="18">
        <v>45597</v>
      </c>
      <c r="K320" s="8" t="s">
        <v>22</v>
      </c>
      <c r="L320" s="8" t="s">
        <v>23</v>
      </c>
      <c r="M320" s="5"/>
      <c r="N320" s="2"/>
      <c r="O320" s="2"/>
      <c r="P320" s="2"/>
      <c r="Q320" s="2"/>
      <c r="R320" s="2">
        <v>1</v>
      </c>
      <c r="S320" s="2"/>
      <c r="T320" s="2"/>
      <c r="U320" s="2"/>
      <c r="V320" s="2"/>
      <c r="W320" s="2"/>
      <c r="X320" s="2"/>
      <c r="Y320" s="2"/>
      <c r="Z320" s="2"/>
      <c r="AA320" s="2"/>
      <c r="AB320" s="2">
        <v>32</v>
      </c>
      <c r="AC320" s="2">
        <f t="shared" si="10"/>
        <v>1</v>
      </c>
    </row>
    <row r="321" spans="1:29" x14ac:dyDescent="0.2">
      <c r="A321" s="2"/>
      <c r="B321" s="2"/>
      <c r="C321" s="27"/>
      <c r="D321" s="2"/>
      <c r="E321" s="2"/>
      <c r="F321" s="7"/>
      <c r="G321" s="2"/>
      <c r="H321" s="2"/>
      <c r="I321" s="2"/>
      <c r="J321" s="2"/>
      <c r="K321" s="8"/>
      <c r="L321" s="8"/>
      <c r="M321" s="5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>
        <f t="shared" si="10"/>
        <v>0</v>
      </c>
    </row>
    <row r="322" spans="1:29" x14ac:dyDescent="0.2">
      <c r="A322" s="2"/>
      <c r="B322" s="2"/>
      <c r="C322" s="27"/>
      <c r="D322" s="2"/>
      <c r="E322" s="2"/>
      <c r="F322" s="7" t="str">
        <f>CONCATENATE(E322,D322)</f>
        <v/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>
        <f t="shared" si="10"/>
        <v>0</v>
      </c>
    </row>
    <row r="323" spans="1:29" x14ac:dyDescent="0.2">
      <c r="J323" s="3"/>
      <c r="K323" s="3"/>
      <c r="L323" s="3"/>
      <c r="M323" s="3"/>
      <c r="AC323" s="1">
        <f>SUM(N323:T323)</f>
        <v>0</v>
      </c>
    </row>
    <row r="324" spans="1:29" x14ac:dyDescent="0.2">
      <c r="N324" s="4">
        <f t="shared" ref="N324:AC324" si="19">SUBTOTAL(9,N2:N323)</f>
        <v>2957</v>
      </c>
      <c r="O324" s="4">
        <f t="shared" si="19"/>
        <v>962</v>
      </c>
      <c r="P324" s="4">
        <f t="shared" si="19"/>
        <v>99</v>
      </c>
      <c r="Q324" s="4">
        <f t="shared" si="19"/>
        <v>1073</v>
      </c>
      <c r="R324" s="4">
        <f t="shared" si="19"/>
        <v>1751</v>
      </c>
      <c r="S324" s="4">
        <f t="shared" si="19"/>
        <v>4</v>
      </c>
      <c r="T324" s="4">
        <f t="shared" si="19"/>
        <v>178</v>
      </c>
      <c r="U324" s="4">
        <f t="shared" si="19"/>
        <v>7</v>
      </c>
      <c r="V324" s="4">
        <f t="shared" si="19"/>
        <v>13</v>
      </c>
      <c r="W324" s="4">
        <f t="shared" si="19"/>
        <v>0</v>
      </c>
      <c r="X324" s="4">
        <f t="shared" si="19"/>
        <v>5</v>
      </c>
      <c r="Y324" s="4">
        <f t="shared" si="19"/>
        <v>2</v>
      </c>
      <c r="Z324" s="4">
        <f t="shared" si="19"/>
        <v>0</v>
      </c>
      <c r="AA324" s="4">
        <f t="shared" si="19"/>
        <v>0</v>
      </c>
      <c r="AB324" s="4">
        <f>SUBTOTAL(9,AB2:AB323)</f>
        <v>1300.5</v>
      </c>
      <c r="AC324" s="4">
        <f t="shared" si="19"/>
        <v>7051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7181-F816-154E-AAE7-38A6224434BB}">
  <dimension ref="A1:P219"/>
  <sheetViews>
    <sheetView workbookViewId="0">
      <selection activeCell="B3" sqref="B3:B219"/>
    </sheetView>
  </sheetViews>
  <sheetFormatPr baseColWidth="10" defaultRowHeight="15" x14ac:dyDescent="0.2"/>
  <cols>
    <col min="1" max="1" width="17.83203125" bestFit="1" customWidth="1"/>
    <col min="2" max="2" width="21.6640625" bestFit="1" customWidth="1"/>
    <col min="3" max="3" width="9" bestFit="1" customWidth="1"/>
    <col min="4" max="4" width="17.1640625" bestFit="1" customWidth="1"/>
    <col min="5" max="5" width="9" bestFit="1" customWidth="1"/>
    <col min="6" max="6" width="8.33203125" bestFit="1" customWidth="1"/>
    <col min="7" max="7" width="7.33203125" bestFit="1" customWidth="1"/>
    <col min="8" max="9" width="3.1640625" bestFit="1" customWidth="1"/>
    <col min="10" max="10" width="4.1640625" bestFit="1" customWidth="1"/>
    <col min="11" max="14" width="3.1640625" bestFit="1" customWidth="1"/>
    <col min="15" max="15" width="5.33203125" bestFit="1" customWidth="1"/>
    <col min="16" max="16" width="6.6640625" bestFit="1" customWidth="1"/>
  </cols>
  <sheetData>
    <row r="1" spans="1:16" x14ac:dyDescent="0.2">
      <c r="H1" s="29" t="s">
        <v>345</v>
      </c>
      <c r="I1" s="29"/>
      <c r="J1" s="29"/>
      <c r="K1" s="29"/>
      <c r="L1" s="29"/>
      <c r="M1" s="29"/>
      <c r="N1" s="29"/>
      <c r="O1" s="29"/>
    </row>
    <row r="2" spans="1:16" ht="32" x14ac:dyDescent="0.2">
      <c r="A2" s="13" t="s">
        <v>340</v>
      </c>
      <c r="B2" s="13" t="s">
        <v>4</v>
      </c>
      <c r="C2" s="13" t="s">
        <v>14</v>
      </c>
      <c r="D2" s="13" t="s">
        <v>2</v>
      </c>
      <c r="E2" s="13" t="s">
        <v>341</v>
      </c>
      <c r="F2" s="13" t="s">
        <v>342</v>
      </c>
      <c r="G2" s="14" t="s">
        <v>343</v>
      </c>
      <c r="H2" s="14">
        <v>8</v>
      </c>
      <c r="I2" s="14">
        <v>10</v>
      </c>
      <c r="J2" s="14">
        <v>12</v>
      </c>
      <c r="K2" s="14">
        <v>14</v>
      </c>
      <c r="L2" s="14">
        <v>16</v>
      </c>
      <c r="M2" s="14">
        <v>18</v>
      </c>
      <c r="N2" s="14">
        <v>21</v>
      </c>
      <c r="O2" s="14" t="s">
        <v>16</v>
      </c>
      <c r="P2" s="14" t="s">
        <v>344</v>
      </c>
    </row>
    <row r="3" spans="1:16" x14ac:dyDescent="0.2">
      <c r="A3" s="15" t="s">
        <v>28</v>
      </c>
      <c r="B3" s="15"/>
      <c r="D3" s="15"/>
      <c r="E3" s="15"/>
      <c r="F3" s="15"/>
      <c r="G3" s="16">
        <v>45809</v>
      </c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2">
      <c r="A4" s="15" t="s">
        <v>24</v>
      </c>
      <c r="B4" s="15"/>
      <c r="D4" s="15"/>
      <c r="E4" s="15"/>
      <c r="F4" s="15"/>
      <c r="G4" s="16">
        <v>45809</v>
      </c>
      <c r="H4" s="17"/>
      <c r="I4" s="17"/>
      <c r="J4" s="17"/>
      <c r="K4" s="17"/>
      <c r="L4" s="17"/>
      <c r="M4" s="17"/>
      <c r="N4" s="17"/>
      <c r="O4" s="17"/>
      <c r="P4" s="17"/>
    </row>
    <row r="5" spans="1:16" x14ac:dyDescent="0.2">
      <c r="A5" s="15" t="s">
        <v>29</v>
      </c>
      <c r="B5" s="15"/>
      <c r="D5" s="15"/>
      <c r="E5" s="15"/>
      <c r="F5" s="15"/>
      <c r="G5" s="16">
        <v>45809</v>
      </c>
      <c r="H5" s="17"/>
      <c r="I5" s="17"/>
      <c r="J5" s="17"/>
      <c r="K5" s="17"/>
      <c r="L5" s="17"/>
      <c r="M5" s="17"/>
      <c r="N5" s="17"/>
      <c r="O5" s="17"/>
      <c r="P5" s="17"/>
    </row>
    <row r="6" spans="1:16" x14ac:dyDescent="0.2">
      <c r="A6" s="15" t="s">
        <v>25</v>
      </c>
      <c r="B6" s="15"/>
      <c r="D6" s="15"/>
      <c r="E6" s="15"/>
      <c r="F6" s="15"/>
      <c r="G6" s="16">
        <v>45809</v>
      </c>
      <c r="H6" s="17"/>
      <c r="I6" s="17"/>
      <c r="J6" s="17"/>
      <c r="K6" s="17"/>
      <c r="L6" s="17"/>
      <c r="M6" s="17"/>
      <c r="N6" s="17"/>
      <c r="O6" s="17"/>
      <c r="P6" s="17"/>
    </row>
    <row r="7" spans="1:16" x14ac:dyDescent="0.2">
      <c r="A7" s="15" t="s">
        <v>27</v>
      </c>
      <c r="B7" s="15"/>
      <c r="D7" s="15"/>
      <c r="E7" s="15"/>
      <c r="F7" s="15"/>
      <c r="G7" s="16">
        <v>45809</v>
      </c>
      <c r="H7" s="17"/>
      <c r="I7" s="17"/>
      <c r="J7" s="17"/>
      <c r="K7" s="17"/>
      <c r="L7" s="17"/>
      <c r="M7" s="17"/>
      <c r="N7" s="17"/>
      <c r="O7" s="17"/>
      <c r="P7" s="17"/>
    </row>
    <row r="8" spans="1:16" x14ac:dyDescent="0.2">
      <c r="A8" s="15" t="s">
        <v>30</v>
      </c>
      <c r="B8" s="15"/>
      <c r="D8" s="15"/>
      <c r="E8" s="15"/>
      <c r="F8" s="15"/>
      <c r="G8" s="16">
        <v>45809</v>
      </c>
      <c r="H8" s="17"/>
      <c r="I8" s="17"/>
      <c r="J8" s="17"/>
      <c r="K8" s="17"/>
      <c r="L8" s="17"/>
      <c r="M8" s="17"/>
      <c r="N8" s="17"/>
      <c r="O8" s="17"/>
      <c r="P8" s="17"/>
    </row>
    <row r="9" spans="1:16" x14ac:dyDescent="0.2">
      <c r="A9" s="15" t="s">
        <v>31</v>
      </c>
      <c r="B9" s="15"/>
      <c r="D9" s="15"/>
      <c r="E9" s="15"/>
      <c r="F9" s="15"/>
      <c r="G9" s="16">
        <v>45809</v>
      </c>
      <c r="H9" s="17"/>
      <c r="I9" s="17"/>
      <c r="J9" s="17"/>
      <c r="K9" s="17"/>
      <c r="L9" s="17"/>
      <c r="M9" s="17"/>
      <c r="N9" s="17"/>
      <c r="O9" s="17"/>
      <c r="P9" s="17"/>
    </row>
    <row r="10" spans="1:16" x14ac:dyDescent="0.2">
      <c r="A10" s="15" t="s">
        <v>32</v>
      </c>
      <c r="B10" s="15"/>
      <c r="D10" s="15"/>
      <c r="E10" s="15"/>
      <c r="F10" s="15"/>
      <c r="G10" s="16">
        <v>45809</v>
      </c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2">
      <c r="A11" s="15" t="s">
        <v>33</v>
      </c>
      <c r="B11" s="15"/>
      <c r="D11" s="15"/>
      <c r="E11" s="15"/>
      <c r="F11" s="15"/>
      <c r="G11" s="16">
        <v>45809</v>
      </c>
      <c r="H11" s="17"/>
      <c r="I11" s="17"/>
      <c r="J11" s="17"/>
      <c r="K11" s="17"/>
      <c r="L11" s="17"/>
      <c r="M11" s="17"/>
      <c r="N11" s="17"/>
      <c r="O11" s="17"/>
      <c r="P11" s="17"/>
    </row>
    <row r="12" spans="1:16" x14ac:dyDescent="0.2">
      <c r="A12" s="15" t="s">
        <v>34</v>
      </c>
      <c r="B12" s="15"/>
      <c r="D12" s="15"/>
      <c r="E12" s="15"/>
      <c r="F12" s="15"/>
      <c r="G12" s="16">
        <v>45809</v>
      </c>
      <c r="H12" s="17"/>
      <c r="I12" s="17"/>
      <c r="J12" s="17"/>
      <c r="K12" s="17"/>
      <c r="L12" s="17"/>
      <c r="M12" s="17"/>
      <c r="N12" s="17"/>
      <c r="O12" s="17"/>
      <c r="P12" s="17"/>
    </row>
    <row r="13" spans="1:16" x14ac:dyDescent="0.2">
      <c r="A13" s="15" t="s">
        <v>35</v>
      </c>
      <c r="B13" s="15"/>
      <c r="D13" s="15"/>
      <c r="E13" s="15"/>
      <c r="F13" s="15"/>
      <c r="G13" s="16">
        <v>45809</v>
      </c>
      <c r="H13" s="17"/>
      <c r="I13" s="17"/>
      <c r="J13" s="17"/>
      <c r="K13" s="17"/>
      <c r="L13" s="17"/>
      <c r="M13" s="17"/>
      <c r="N13" s="17"/>
      <c r="O13" s="17"/>
      <c r="P13" s="17"/>
    </row>
    <row r="14" spans="1:16" x14ac:dyDescent="0.2">
      <c r="A14" s="15" t="s">
        <v>36</v>
      </c>
      <c r="B14" s="15"/>
      <c r="D14" s="15"/>
      <c r="E14" s="15"/>
      <c r="F14" s="15"/>
      <c r="G14" s="16">
        <v>45809</v>
      </c>
      <c r="H14" s="17"/>
      <c r="I14" s="17"/>
      <c r="J14" s="17"/>
      <c r="K14" s="17"/>
      <c r="L14" s="17"/>
      <c r="M14" s="17"/>
      <c r="N14" s="17"/>
      <c r="O14" s="17"/>
      <c r="P14" s="17"/>
    </row>
    <row r="15" spans="1:16" x14ac:dyDescent="0.2">
      <c r="A15" s="15" t="s">
        <v>21</v>
      </c>
      <c r="B15" s="15"/>
      <c r="D15" s="15"/>
      <c r="E15" s="15"/>
      <c r="F15" s="15"/>
      <c r="G15" s="16">
        <v>45809</v>
      </c>
      <c r="H15" s="17"/>
      <c r="I15" s="17"/>
      <c r="J15" s="17"/>
      <c r="K15" s="17"/>
      <c r="L15" s="17"/>
      <c r="M15" s="17"/>
      <c r="N15" s="17"/>
      <c r="O15" s="17"/>
      <c r="P15" s="17"/>
    </row>
    <row r="16" spans="1:16" x14ac:dyDescent="0.2">
      <c r="A16" s="15" t="s">
        <v>26</v>
      </c>
      <c r="B16" s="15"/>
      <c r="D16" s="15"/>
      <c r="E16" s="15"/>
      <c r="F16" s="15"/>
      <c r="G16" s="16">
        <v>45809</v>
      </c>
      <c r="H16" s="17"/>
      <c r="I16" s="17"/>
      <c r="J16" s="17"/>
      <c r="K16" s="17"/>
      <c r="L16" s="17"/>
      <c r="M16" s="17"/>
      <c r="N16" s="17"/>
      <c r="O16" s="17"/>
      <c r="P16" s="17"/>
    </row>
    <row r="17" spans="1:16" x14ac:dyDescent="0.2">
      <c r="A17" s="15" t="s">
        <v>43</v>
      </c>
      <c r="B17" s="15"/>
      <c r="D17" s="15"/>
      <c r="E17" s="15"/>
      <c r="F17" s="15"/>
      <c r="G17" s="16">
        <v>45809</v>
      </c>
      <c r="H17" s="17"/>
      <c r="I17" s="17"/>
      <c r="J17" s="17"/>
      <c r="K17" s="17"/>
      <c r="L17" s="17"/>
      <c r="M17" s="17"/>
      <c r="N17" s="17"/>
      <c r="O17" s="17"/>
      <c r="P17" s="17"/>
    </row>
    <row r="18" spans="1:16" x14ac:dyDescent="0.2">
      <c r="A18" s="15" t="s">
        <v>42</v>
      </c>
      <c r="B18" s="15"/>
      <c r="D18" s="15"/>
      <c r="E18" s="15"/>
      <c r="F18" s="15"/>
      <c r="G18" s="16">
        <v>45809</v>
      </c>
      <c r="H18" s="17"/>
      <c r="I18" s="17"/>
      <c r="J18" s="17"/>
      <c r="K18" s="17"/>
      <c r="L18" s="17"/>
      <c r="M18" s="17"/>
      <c r="N18" s="17"/>
      <c r="O18" s="17"/>
      <c r="P18" s="17"/>
    </row>
    <row r="19" spans="1:16" x14ac:dyDescent="0.2">
      <c r="A19" s="15" t="s">
        <v>46</v>
      </c>
      <c r="B19" s="15"/>
      <c r="D19" s="15"/>
      <c r="E19" s="15"/>
      <c r="F19" s="15"/>
      <c r="G19" s="16">
        <v>45809</v>
      </c>
      <c r="H19" s="17"/>
      <c r="I19" s="17"/>
      <c r="J19" s="17"/>
      <c r="K19" s="17"/>
      <c r="L19" s="17"/>
      <c r="M19" s="17"/>
      <c r="N19" s="17"/>
      <c r="O19" s="17"/>
      <c r="P19" s="17"/>
    </row>
    <row r="20" spans="1:16" x14ac:dyDescent="0.2">
      <c r="A20" s="15" t="s">
        <v>44</v>
      </c>
      <c r="B20" s="15"/>
      <c r="D20" s="15"/>
      <c r="E20" s="15"/>
      <c r="F20" s="15"/>
      <c r="G20" s="16">
        <v>45809</v>
      </c>
      <c r="H20" s="17"/>
      <c r="I20" s="17"/>
      <c r="J20" s="17"/>
      <c r="K20" s="17"/>
      <c r="L20" s="17"/>
      <c r="M20" s="17"/>
      <c r="N20" s="17"/>
      <c r="O20" s="17"/>
      <c r="P20" s="17"/>
    </row>
    <row r="21" spans="1:16" x14ac:dyDescent="0.2">
      <c r="A21" s="15" t="s">
        <v>47</v>
      </c>
      <c r="B21" s="15"/>
      <c r="D21" s="15"/>
      <c r="E21" s="15"/>
      <c r="F21" s="15"/>
      <c r="G21" s="16">
        <v>45809</v>
      </c>
      <c r="H21" s="17"/>
      <c r="I21" s="17"/>
      <c r="J21" s="17"/>
      <c r="K21" s="17"/>
      <c r="L21" s="17"/>
      <c r="M21" s="17"/>
      <c r="N21" s="17"/>
      <c r="O21" s="17"/>
      <c r="P21" s="17"/>
    </row>
    <row r="22" spans="1:16" x14ac:dyDescent="0.2">
      <c r="A22" s="15" t="s">
        <v>45</v>
      </c>
      <c r="B22" s="15"/>
      <c r="D22" s="15"/>
      <c r="E22" s="15"/>
      <c r="F22" s="15"/>
      <c r="G22" s="16">
        <v>45809</v>
      </c>
      <c r="H22" s="17"/>
      <c r="I22" s="17"/>
      <c r="J22" s="17"/>
      <c r="K22" s="17"/>
      <c r="L22" s="17"/>
      <c r="M22" s="17"/>
      <c r="N22" s="17"/>
      <c r="O22" s="17"/>
      <c r="P22" s="17"/>
    </row>
    <row r="23" spans="1:16" x14ac:dyDescent="0.2">
      <c r="A23" s="15" t="s">
        <v>48</v>
      </c>
      <c r="B23" s="15"/>
      <c r="D23" s="15"/>
      <c r="E23" s="15"/>
      <c r="F23" s="15"/>
      <c r="G23" s="16">
        <v>45809</v>
      </c>
      <c r="H23" s="17"/>
      <c r="I23" s="17"/>
      <c r="J23" s="17"/>
      <c r="K23" s="17"/>
      <c r="L23" s="17"/>
      <c r="M23" s="17"/>
      <c r="N23" s="17"/>
      <c r="O23" s="17"/>
      <c r="P23" s="17"/>
    </row>
    <row r="24" spans="1:16" x14ac:dyDescent="0.2">
      <c r="A24" s="15" t="s">
        <v>68</v>
      </c>
      <c r="B24" s="15"/>
      <c r="D24" s="15"/>
      <c r="E24" s="15"/>
      <c r="F24" s="15"/>
      <c r="G24" s="16">
        <v>45809</v>
      </c>
      <c r="H24" s="17"/>
      <c r="I24" s="17"/>
      <c r="J24" s="17"/>
      <c r="K24" s="17"/>
      <c r="L24" s="17"/>
      <c r="M24" s="17"/>
      <c r="N24" s="17"/>
      <c r="O24" s="17"/>
      <c r="P24" s="17"/>
    </row>
    <row r="25" spans="1:16" x14ac:dyDescent="0.2">
      <c r="A25" s="15" t="s">
        <v>71</v>
      </c>
      <c r="B25" s="15"/>
      <c r="D25" s="15"/>
      <c r="E25" s="15"/>
      <c r="F25" s="15"/>
      <c r="G25" s="16">
        <v>45809</v>
      </c>
      <c r="H25" s="17"/>
      <c r="I25" s="17"/>
      <c r="J25" s="17"/>
      <c r="K25" s="17"/>
      <c r="L25" s="17"/>
      <c r="M25" s="17"/>
      <c r="N25" s="17"/>
      <c r="O25" s="17"/>
      <c r="P25" s="17"/>
    </row>
    <row r="26" spans="1:16" x14ac:dyDescent="0.2">
      <c r="A26" s="15" t="s">
        <v>56</v>
      </c>
      <c r="B26" s="15"/>
      <c r="D26" s="15"/>
      <c r="E26" s="15"/>
      <c r="F26" s="15"/>
      <c r="G26" s="16">
        <v>45809</v>
      </c>
      <c r="H26" s="17"/>
      <c r="I26" s="17"/>
      <c r="J26" s="17"/>
      <c r="K26" s="17"/>
      <c r="L26" s="17"/>
      <c r="M26" s="17"/>
      <c r="N26" s="17"/>
      <c r="O26" s="17"/>
      <c r="P26" s="17"/>
    </row>
    <row r="27" spans="1:16" x14ac:dyDescent="0.2">
      <c r="A27" s="15" t="s">
        <v>58</v>
      </c>
      <c r="B27" s="15"/>
      <c r="D27" s="15"/>
      <c r="E27" s="15"/>
      <c r="F27" s="15"/>
      <c r="G27" s="16">
        <v>45809</v>
      </c>
      <c r="H27" s="17"/>
      <c r="I27" s="17"/>
      <c r="J27" s="17"/>
      <c r="K27" s="17"/>
      <c r="L27" s="17"/>
      <c r="M27" s="17"/>
      <c r="N27" s="17"/>
      <c r="O27" s="17"/>
      <c r="P27" s="17"/>
    </row>
    <row r="28" spans="1:16" x14ac:dyDescent="0.2">
      <c r="A28" s="15" t="s">
        <v>75</v>
      </c>
      <c r="B28" s="15"/>
      <c r="D28" s="15"/>
      <c r="E28" s="15"/>
      <c r="F28" s="15"/>
      <c r="G28" s="16">
        <v>45809</v>
      </c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5" t="s">
        <v>70</v>
      </c>
      <c r="B29" s="15"/>
      <c r="D29" s="15"/>
      <c r="E29" s="15"/>
      <c r="F29" s="15"/>
      <c r="G29" s="16">
        <v>45809</v>
      </c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5" t="s">
        <v>57</v>
      </c>
      <c r="B30" s="15"/>
      <c r="D30" s="15"/>
      <c r="E30" s="15"/>
      <c r="F30" s="15"/>
      <c r="G30" s="16">
        <v>45809</v>
      </c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5" t="s">
        <v>52</v>
      </c>
      <c r="B31" s="15"/>
      <c r="D31" s="15"/>
      <c r="E31" s="15"/>
      <c r="F31" s="15"/>
      <c r="G31" s="16">
        <v>45809</v>
      </c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5" t="s">
        <v>69</v>
      </c>
      <c r="B32" s="15"/>
      <c r="D32" s="15"/>
      <c r="E32" s="15"/>
      <c r="F32" s="15"/>
      <c r="G32" s="16">
        <v>45809</v>
      </c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5" t="s">
        <v>55</v>
      </c>
      <c r="B33" s="15"/>
      <c r="D33" s="15"/>
      <c r="E33" s="15"/>
      <c r="F33" s="15"/>
      <c r="G33" s="16">
        <v>45809</v>
      </c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5" t="s">
        <v>54</v>
      </c>
      <c r="B34" s="15"/>
      <c r="D34" s="15"/>
      <c r="E34" s="15"/>
      <c r="F34" s="15"/>
      <c r="G34" s="16">
        <v>45809</v>
      </c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5" t="s">
        <v>53</v>
      </c>
      <c r="B35" s="15"/>
      <c r="D35" s="15"/>
      <c r="E35" s="15"/>
      <c r="F35" s="15"/>
      <c r="G35" s="16">
        <v>45809</v>
      </c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5" t="s">
        <v>64</v>
      </c>
      <c r="B36" s="15"/>
      <c r="D36" s="15"/>
      <c r="E36" s="15"/>
      <c r="F36" s="15"/>
      <c r="G36" s="16">
        <v>45809</v>
      </c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5" t="s">
        <v>67</v>
      </c>
      <c r="B37" s="15"/>
      <c r="D37" s="15"/>
      <c r="E37" s="15"/>
      <c r="F37" s="15"/>
      <c r="G37" s="16">
        <v>45809</v>
      </c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5" t="s">
        <v>76</v>
      </c>
      <c r="B38" s="15"/>
      <c r="D38" s="15"/>
      <c r="E38" s="15"/>
      <c r="F38" s="15"/>
      <c r="G38" s="16">
        <v>45809</v>
      </c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5" t="s">
        <v>80</v>
      </c>
      <c r="B39" s="15"/>
      <c r="D39" s="15"/>
      <c r="E39" s="15"/>
      <c r="F39" s="15"/>
      <c r="G39" s="16">
        <v>45809</v>
      </c>
      <c r="H39" s="17"/>
      <c r="I39" s="17"/>
      <c r="J39" s="17"/>
      <c r="K39" s="17"/>
      <c r="L39" s="17"/>
      <c r="M39" s="17"/>
      <c r="N39" s="17"/>
      <c r="O39" s="17"/>
      <c r="P39" s="17"/>
    </row>
    <row r="40" spans="1:16" x14ac:dyDescent="0.2">
      <c r="A40" s="15" t="s">
        <v>81</v>
      </c>
      <c r="B40" s="15"/>
      <c r="D40" s="15"/>
      <c r="E40" s="15"/>
      <c r="F40" s="15"/>
      <c r="G40" s="16">
        <v>45809</v>
      </c>
      <c r="H40" s="17"/>
      <c r="I40" s="17"/>
      <c r="J40" s="17"/>
      <c r="K40" s="17"/>
      <c r="L40" s="17"/>
      <c r="M40" s="17"/>
      <c r="N40" s="17"/>
      <c r="O40" s="17"/>
      <c r="P40" s="17"/>
    </row>
    <row r="41" spans="1:16" x14ac:dyDescent="0.2">
      <c r="A41" s="15" t="s">
        <v>73</v>
      </c>
      <c r="B41" s="15"/>
      <c r="D41" s="15"/>
      <c r="E41" s="15"/>
      <c r="F41" s="15"/>
      <c r="G41" s="16">
        <v>45809</v>
      </c>
      <c r="H41" s="17"/>
      <c r="I41" s="17"/>
      <c r="J41" s="17"/>
      <c r="K41" s="17"/>
      <c r="L41" s="17"/>
      <c r="M41" s="17"/>
      <c r="N41" s="17"/>
      <c r="O41" s="17"/>
      <c r="P41" s="17"/>
    </row>
    <row r="42" spans="1:16" x14ac:dyDescent="0.2">
      <c r="A42" s="15" t="s">
        <v>77</v>
      </c>
      <c r="B42" s="15"/>
      <c r="D42" s="15"/>
      <c r="E42" s="15"/>
      <c r="F42" s="15"/>
      <c r="G42" s="16">
        <v>45809</v>
      </c>
      <c r="H42" s="17"/>
      <c r="I42" s="17"/>
      <c r="J42" s="17"/>
      <c r="K42" s="17"/>
      <c r="L42" s="17"/>
      <c r="M42" s="17"/>
      <c r="N42" s="17"/>
      <c r="O42" s="17"/>
      <c r="P42" s="17"/>
    </row>
    <row r="43" spans="1:16" x14ac:dyDescent="0.2">
      <c r="A43" s="15" t="s">
        <v>86</v>
      </c>
      <c r="B43" s="15"/>
      <c r="D43" s="15"/>
      <c r="E43" s="15"/>
      <c r="F43" s="15"/>
      <c r="G43" s="16">
        <v>45809</v>
      </c>
      <c r="H43" s="17"/>
      <c r="I43" s="17"/>
      <c r="J43" s="17"/>
      <c r="K43" s="17"/>
      <c r="L43" s="17"/>
      <c r="M43" s="17"/>
      <c r="N43" s="17"/>
      <c r="O43" s="17"/>
      <c r="P43" s="17"/>
    </row>
    <row r="44" spans="1:16" x14ac:dyDescent="0.2">
      <c r="A44" s="15" t="s">
        <v>99</v>
      </c>
      <c r="B44" s="15"/>
      <c r="D44" s="15"/>
      <c r="E44" s="15"/>
      <c r="F44" s="15"/>
      <c r="G44" s="16">
        <v>45809</v>
      </c>
      <c r="H44" s="17"/>
      <c r="I44" s="17"/>
      <c r="J44" s="17"/>
      <c r="K44" s="17"/>
      <c r="L44" s="17"/>
      <c r="M44" s="17"/>
      <c r="N44" s="17"/>
      <c r="O44" s="17"/>
      <c r="P44" s="17"/>
    </row>
    <row r="45" spans="1:16" x14ac:dyDescent="0.2">
      <c r="A45" s="15" t="s">
        <v>78</v>
      </c>
      <c r="B45" s="15"/>
      <c r="D45" s="15"/>
      <c r="E45" s="15"/>
      <c r="F45" s="15"/>
      <c r="G45" s="16">
        <v>45809</v>
      </c>
      <c r="H45" s="17"/>
      <c r="I45" s="17"/>
      <c r="J45" s="17"/>
      <c r="K45" s="17"/>
      <c r="L45" s="17"/>
      <c r="M45" s="17"/>
      <c r="N45" s="17"/>
      <c r="O45" s="17"/>
      <c r="P45" s="17"/>
    </row>
    <row r="46" spans="1:16" x14ac:dyDescent="0.2">
      <c r="A46" s="15" t="s">
        <v>72</v>
      </c>
      <c r="B46" s="15"/>
      <c r="D46" s="15"/>
      <c r="E46" s="15"/>
      <c r="F46" s="15"/>
      <c r="G46" s="16">
        <v>45809</v>
      </c>
      <c r="H46" s="17"/>
      <c r="I46" s="17"/>
      <c r="J46" s="17"/>
      <c r="K46" s="17"/>
      <c r="L46" s="17"/>
      <c r="M46" s="17"/>
      <c r="N46" s="17"/>
      <c r="O46" s="17"/>
      <c r="P46" s="17"/>
    </row>
    <row r="47" spans="1:16" x14ac:dyDescent="0.2">
      <c r="A47" s="15" t="s">
        <v>79</v>
      </c>
      <c r="B47" s="15"/>
      <c r="D47" s="15"/>
      <c r="E47" s="15"/>
      <c r="F47" s="15"/>
      <c r="G47" s="16">
        <v>45809</v>
      </c>
      <c r="H47" s="17"/>
      <c r="I47" s="17"/>
      <c r="J47" s="17"/>
      <c r="K47" s="17"/>
      <c r="L47" s="17"/>
      <c r="M47" s="17"/>
      <c r="N47" s="17"/>
      <c r="O47" s="17"/>
      <c r="P47" s="17"/>
    </row>
    <row r="48" spans="1:16" x14ac:dyDescent="0.2">
      <c r="A48" s="15" t="s">
        <v>90</v>
      </c>
      <c r="B48" s="15"/>
      <c r="D48" s="15"/>
      <c r="E48" s="15"/>
      <c r="F48" s="15"/>
      <c r="G48" s="16">
        <v>45809</v>
      </c>
      <c r="H48" s="17"/>
      <c r="I48" s="17"/>
      <c r="J48" s="17"/>
      <c r="K48" s="17"/>
      <c r="L48" s="17"/>
      <c r="M48" s="17"/>
      <c r="N48" s="17"/>
      <c r="O48" s="17"/>
      <c r="P48" s="17"/>
    </row>
    <row r="49" spans="1:16" x14ac:dyDescent="0.2">
      <c r="A49" s="15" t="s">
        <v>87</v>
      </c>
      <c r="B49" s="15"/>
      <c r="D49" s="15"/>
      <c r="E49" s="15"/>
      <c r="F49" s="15"/>
      <c r="G49" s="16">
        <v>45809</v>
      </c>
      <c r="H49" s="17"/>
      <c r="I49" s="17"/>
      <c r="J49" s="17"/>
      <c r="K49" s="17"/>
      <c r="L49" s="17"/>
      <c r="M49" s="17"/>
      <c r="N49" s="17"/>
      <c r="O49" s="17"/>
      <c r="P49" s="17"/>
    </row>
    <row r="50" spans="1:16" x14ac:dyDescent="0.2">
      <c r="A50" s="15" t="s">
        <v>93</v>
      </c>
      <c r="B50" s="15"/>
      <c r="D50" s="15"/>
      <c r="E50" s="15"/>
      <c r="F50" s="15"/>
      <c r="G50" s="16">
        <v>45809</v>
      </c>
      <c r="H50" s="17"/>
      <c r="I50" s="17"/>
      <c r="J50" s="17"/>
      <c r="K50" s="17"/>
      <c r="L50" s="17"/>
      <c r="M50" s="17"/>
      <c r="N50" s="17"/>
      <c r="O50" s="17"/>
      <c r="P50" s="17"/>
    </row>
    <row r="51" spans="1:16" x14ac:dyDescent="0.2">
      <c r="A51" s="15" t="s">
        <v>112</v>
      </c>
      <c r="B51" s="15"/>
      <c r="D51" s="15"/>
      <c r="E51" s="15"/>
      <c r="F51" s="15"/>
      <c r="G51" s="16">
        <v>45809</v>
      </c>
      <c r="H51" s="17"/>
      <c r="I51" s="17"/>
      <c r="J51" s="17"/>
      <c r="K51" s="17"/>
      <c r="L51" s="17"/>
      <c r="M51" s="17"/>
      <c r="N51" s="17"/>
      <c r="O51" s="17"/>
      <c r="P51" s="17"/>
    </row>
    <row r="52" spans="1:16" x14ac:dyDescent="0.2">
      <c r="A52" s="15" t="s">
        <v>130</v>
      </c>
      <c r="B52" s="15"/>
      <c r="D52" s="15"/>
      <c r="E52" s="15"/>
      <c r="F52" s="15"/>
      <c r="G52" s="16">
        <v>45809</v>
      </c>
      <c r="H52" s="17"/>
      <c r="I52" s="17"/>
      <c r="J52" s="17"/>
      <c r="K52" s="17"/>
      <c r="L52" s="17"/>
      <c r="M52" s="17"/>
      <c r="N52" s="17"/>
      <c r="O52" s="17"/>
      <c r="P52" s="17"/>
    </row>
    <row r="53" spans="1:16" x14ac:dyDescent="0.2">
      <c r="A53" s="15" t="s">
        <v>166</v>
      </c>
      <c r="B53" s="15"/>
      <c r="D53" s="15"/>
      <c r="E53" s="15"/>
      <c r="F53" s="15"/>
      <c r="G53" s="16">
        <v>45809</v>
      </c>
      <c r="H53" s="17"/>
      <c r="I53" s="17"/>
      <c r="J53" s="17"/>
      <c r="K53" s="17"/>
      <c r="L53" s="17"/>
      <c r="M53" s="17"/>
      <c r="N53" s="17"/>
      <c r="O53" s="17"/>
      <c r="P53" s="17"/>
    </row>
    <row r="54" spans="1:16" x14ac:dyDescent="0.2">
      <c r="A54" s="15" t="s">
        <v>109</v>
      </c>
      <c r="B54" s="15"/>
      <c r="D54" s="15"/>
      <c r="E54" s="15"/>
      <c r="F54" s="15"/>
      <c r="G54" s="16">
        <v>45809</v>
      </c>
      <c r="H54" s="17"/>
      <c r="I54" s="17"/>
      <c r="J54" s="17"/>
      <c r="K54" s="17"/>
      <c r="L54" s="17"/>
      <c r="M54" s="17"/>
      <c r="N54" s="17"/>
      <c r="O54" s="17"/>
      <c r="P54" s="17"/>
    </row>
    <row r="55" spans="1:16" x14ac:dyDescent="0.2">
      <c r="A55" s="15" t="s">
        <v>156</v>
      </c>
      <c r="B55" s="15"/>
      <c r="D55" s="15"/>
      <c r="E55" s="15"/>
      <c r="F55" s="15"/>
      <c r="G55" s="16">
        <v>45809</v>
      </c>
      <c r="H55" s="17"/>
      <c r="I55" s="17"/>
      <c r="J55" s="17"/>
      <c r="K55" s="17"/>
      <c r="L55" s="17"/>
      <c r="M55" s="17"/>
      <c r="N55" s="17"/>
      <c r="O55" s="17"/>
      <c r="P55" s="17"/>
    </row>
    <row r="56" spans="1:16" x14ac:dyDescent="0.2">
      <c r="A56" s="15" t="s">
        <v>162</v>
      </c>
      <c r="B56" s="15"/>
      <c r="D56" s="15"/>
      <c r="E56" s="15"/>
      <c r="F56" s="15"/>
      <c r="G56" s="16">
        <v>45809</v>
      </c>
      <c r="H56" s="17"/>
      <c r="I56" s="17"/>
      <c r="J56" s="17"/>
      <c r="K56" s="17"/>
      <c r="L56" s="17"/>
      <c r="M56" s="17"/>
      <c r="N56" s="17"/>
      <c r="O56" s="17"/>
      <c r="P56" s="17"/>
    </row>
    <row r="57" spans="1:16" x14ac:dyDescent="0.2">
      <c r="A57" s="15" t="s">
        <v>163</v>
      </c>
      <c r="B57" s="15"/>
      <c r="D57" s="15"/>
      <c r="E57" s="15"/>
      <c r="F57" s="15"/>
      <c r="G57" s="16">
        <v>45809</v>
      </c>
      <c r="H57" s="17"/>
      <c r="I57" s="17"/>
      <c r="J57" s="17"/>
      <c r="K57" s="17"/>
      <c r="L57" s="17"/>
      <c r="M57" s="17"/>
      <c r="N57" s="17"/>
      <c r="O57" s="17"/>
      <c r="P57" s="17"/>
    </row>
    <row r="58" spans="1:16" x14ac:dyDescent="0.2">
      <c r="A58" s="15" t="s">
        <v>110</v>
      </c>
      <c r="B58" s="15"/>
      <c r="D58" s="15"/>
      <c r="E58" s="15"/>
      <c r="F58" s="15"/>
      <c r="G58" s="16">
        <v>45809</v>
      </c>
      <c r="H58" s="17"/>
      <c r="I58" s="17"/>
      <c r="J58" s="17"/>
      <c r="K58" s="17"/>
      <c r="L58" s="17"/>
      <c r="M58" s="17"/>
      <c r="N58" s="17"/>
      <c r="O58" s="17"/>
      <c r="P58" s="17"/>
    </row>
    <row r="59" spans="1:16" x14ac:dyDescent="0.2">
      <c r="A59" s="15" t="s">
        <v>118</v>
      </c>
      <c r="B59" s="15"/>
      <c r="D59" s="15"/>
      <c r="E59" s="15"/>
      <c r="F59" s="15"/>
      <c r="G59" s="16">
        <v>45809</v>
      </c>
      <c r="H59" s="17"/>
      <c r="I59" s="17"/>
      <c r="J59" s="17"/>
      <c r="K59" s="17"/>
      <c r="L59" s="17"/>
      <c r="M59" s="17"/>
      <c r="N59" s="17"/>
      <c r="O59" s="17"/>
      <c r="P59" s="17"/>
    </row>
    <row r="60" spans="1:16" x14ac:dyDescent="0.2">
      <c r="A60" s="15" t="s">
        <v>115</v>
      </c>
      <c r="B60" s="15"/>
      <c r="D60" s="15"/>
      <c r="E60" s="15"/>
      <c r="F60" s="15"/>
      <c r="G60" s="16">
        <v>45809</v>
      </c>
      <c r="H60" s="17"/>
      <c r="I60" s="17"/>
      <c r="J60" s="17"/>
      <c r="K60" s="17"/>
      <c r="L60" s="17"/>
      <c r="M60" s="17"/>
      <c r="N60" s="17"/>
      <c r="O60" s="17"/>
      <c r="P60" s="17"/>
    </row>
    <row r="61" spans="1:16" x14ac:dyDescent="0.2">
      <c r="A61" s="15" t="s">
        <v>119</v>
      </c>
      <c r="B61" s="15"/>
      <c r="D61" s="15"/>
      <c r="E61" s="15"/>
      <c r="F61" s="15"/>
      <c r="G61" s="16">
        <v>45809</v>
      </c>
      <c r="H61" s="17"/>
      <c r="I61" s="17"/>
      <c r="J61" s="17"/>
      <c r="K61" s="17"/>
      <c r="L61" s="17"/>
      <c r="M61" s="17"/>
      <c r="N61" s="17"/>
      <c r="O61" s="17"/>
      <c r="P61" s="17"/>
    </row>
    <row r="62" spans="1:16" x14ac:dyDescent="0.2">
      <c r="A62" s="15" t="s">
        <v>122</v>
      </c>
      <c r="B62" s="15"/>
      <c r="D62" s="15"/>
      <c r="E62" s="15"/>
      <c r="F62" s="15"/>
      <c r="G62" s="16">
        <v>45809</v>
      </c>
      <c r="H62" s="17"/>
      <c r="I62" s="17"/>
      <c r="J62" s="17"/>
      <c r="K62" s="17"/>
      <c r="L62" s="17"/>
      <c r="M62" s="17"/>
      <c r="N62" s="17"/>
      <c r="O62" s="17"/>
      <c r="P62" s="17"/>
    </row>
    <row r="63" spans="1:16" x14ac:dyDescent="0.2">
      <c r="A63" s="15" t="s">
        <v>125</v>
      </c>
      <c r="B63" s="15"/>
      <c r="D63" s="15"/>
      <c r="E63" s="15"/>
      <c r="F63" s="15"/>
      <c r="G63" s="16">
        <v>45809</v>
      </c>
      <c r="H63" s="17"/>
      <c r="I63" s="17"/>
      <c r="J63" s="17"/>
      <c r="K63" s="17"/>
      <c r="L63" s="17"/>
      <c r="M63" s="17"/>
      <c r="N63" s="17"/>
      <c r="O63" s="17"/>
      <c r="P63" s="17"/>
    </row>
    <row r="64" spans="1:16" x14ac:dyDescent="0.2">
      <c r="A64" s="15" t="s">
        <v>124</v>
      </c>
      <c r="B64" s="15"/>
      <c r="D64" s="15"/>
      <c r="E64" s="15"/>
      <c r="F64" s="15"/>
      <c r="G64" s="16">
        <v>45809</v>
      </c>
      <c r="H64" s="17"/>
      <c r="I64" s="17"/>
      <c r="J64" s="17"/>
      <c r="K64" s="17"/>
      <c r="L64" s="17"/>
      <c r="M64" s="17"/>
      <c r="N64" s="17"/>
      <c r="O64" s="17"/>
      <c r="P64" s="17"/>
    </row>
    <row r="65" spans="1:16" x14ac:dyDescent="0.2">
      <c r="A65" s="15" t="s">
        <v>131</v>
      </c>
      <c r="B65" s="15"/>
      <c r="D65" s="15"/>
      <c r="E65" s="15"/>
      <c r="F65" s="15"/>
      <c r="G65" s="16">
        <v>45809</v>
      </c>
      <c r="H65" s="17"/>
      <c r="I65" s="17"/>
      <c r="J65" s="17"/>
      <c r="K65" s="17"/>
      <c r="L65" s="17"/>
      <c r="M65" s="17"/>
      <c r="N65" s="17"/>
      <c r="O65" s="17"/>
      <c r="P65" s="17"/>
    </row>
    <row r="66" spans="1:16" x14ac:dyDescent="0.2">
      <c r="A66" s="15" t="s">
        <v>164</v>
      </c>
      <c r="B66" s="15"/>
      <c r="D66" s="15"/>
      <c r="E66" s="15"/>
      <c r="F66" s="15"/>
      <c r="G66" s="16">
        <v>45809</v>
      </c>
      <c r="H66" s="17"/>
      <c r="I66" s="17"/>
      <c r="J66" s="17"/>
      <c r="K66" s="17"/>
      <c r="L66" s="17"/>
      <c r="M66" s="17"/>
      <c r="N66" s="17"/>
      <c r="O66" s="17"/>
      <c r="P66" s="17"/>
    </row>
    <row r="67" spans="1:16" x14ac:dyDescent="0.2">
      <c r="A67" s="15" t="s">
        <v>158</v>
      </c>
      <c r="B67" s="15"/>
      <c r="D67" s="15"/>
      <c r="E67" s="15"/>
      <c r="F67" s="15"/>
      <c r="G67" s="16">
        <v>45809</v>
      </c>
      <c r="H67" s="17"/>
      <c r="I67" s="17"/>
      <c r="J67" s="17"/>
      <c r="K67" s="17"/>
      <c r="L67" s="17"/>
      <c r="M67" s="17"/>
      <c r="N67" s="17"/>
      <c r="O67" s="17"/>
      <c r="P67" s="17"/>
    </row>
    <row r="68" spans="1:16" x14ac:dyDescent="0.2">
      <c r="A68" s="15" t="s">
        <v>133</v>
      </c>
      <c r="B68" s="15"/>
      <c r="D68" s="15"/>
      <c r="E68" s="15"/>
      <c r="F68" s="15"/>
      <c r="G68" s="16">
        <v>45809</v>
      </c>
      <c r="H68" s="17"/>
      <c r="I68" s="17"/>
      <c r="J68" s="17"/>
      <c r="K68" s="17"/>
      <c r="L68" s="17"/>
      <c r="M68" s="17"/>
      <c r="N68" s="17"/>
      <c r="O68" s="17"/>
      <c r="P68" s="17"/>
    </row>
    <row r="69" spans="1:16" x14ac:dyDescent="0.2">
      <c r="A69" s="15" t="s">
        <v>161</v>
      </c>
      <c r="B69" s="15"/>
      <c r="D69" s="15"/>
      <c r="E69" s="15"/>
      <c r="F69" s="15"/>
      <c r="G69" s="16">
        <v>45809</v>
      </c>
      <c r="H69" s="17"/>
      <c r="I69" s="17"/>
      <c r="J69" s="17"/>
      <c r="K69" s="17"/>
      <c r="L69" s="17"/>
      <c r="M69" s="17"/>
      <c r="N69" s="17"/>
      <c r="O69" s="17"/>
      <c r="P69" s="17"/>
    </row>
    <row r="70" spans="1:16" x14ac:dyDescent="0.2">
      <c r="A70" s="15" t="s">
        <v>132</v>
      </c>
      <c r="B70" s="15"/>
      <c r="D70" s="15"/>
      <c r="E70" s="15"/>
      <c r="F70" s="15"/>
      <c r="G70" s="16">
        <v>45809</v>
      </c>
      <c r="H70" s="17"/>
      <c r="I70" s="17"/>
      <c r="J70" s="17"/>
      <c r="K70" s="17"/>
      <c r="L70" s="17"/>
      <c r="M70" s="17"/>
      <c r="N70" s="17"/>
      <c r="O70" s="17"/>
      <c r="P70" s="17"/>
    </row>
    <row r="71" spans="1:16" x14ac:dyDescent="0.2">
      <c r="A71" s="15" t="s">
        <v>102</v>
      </c>
      <c r="B71" s="15"/>
      <c r="D71" s="15"/>
      <c r="E71" s="15"/>
      <c r="F71" s="15"/>
      <c r="G71" s="16">
        <v>45809</v>
      </c>
      <c r="H71" s="17"/>
      <c r="I71" s="17"/>
      <c r="J71" s="17"/>
      <c r="K71" s="17"/>
      <c r="L71" s="17"/>
      <c r="M71" s="17"/>
      <c r="N71" s="17"/>
      <c r="O71" s="17"/>
      <c r="P71" s="17"/>
    </row>
    <row r="72" spans="1:16" x14ac:dyDescent="0.2">
      <c r="A72" s="15" t="s">
        <v>123</v>
      </c>
      <c r="B72" s="15"/>
      <c r="D72" s="15"/>
      <c r="E72" s="15"/>
      <c r="F72" s="15"/>
      <c r="G72" s="16">
        <v>45809</v>
      </c>
      <c r="H72" s="17"/>
      <c r="I72" s="17"/>
      <c r="J72" s="17"/>
      <c r="K72" s="17"/>
      <c r="L72" s="17"/>
      <c r="M72" s="17"/>
      <c r="N72" s="17"/>
      <c r="O72" s="17"/>
      <c r="P72" s="17"/>
    </row>
    <row r="73" spans="1:16" x14ac:dyDescent="0.2">
      <c r="A73" s="15" t="s">
        <v>126</v>
      </c>
      <c r="B73" s="15"/>
      <c r="D73" s="15"/>
      <c r="E73" s="15"/>
      <c r="F73" s="15"/>
      <c r="G73" s="16">
        <v>45809</v>
      </c>
      <c r="H73" s="17"/>
      <c r="I73" s="17"/>
      <c r="J73" s="17"/>
      <c r="K73" s="17"/>
      <c r="L73" s="17"/>
      <c r="M73" s="17"/>
      <c r="N73" s="17"/>
      <c r="O73" s="17"/>
      <c r="P73" s="17"/>
    </row>
    <row r="74" spans="1:16" x14ac:dyDescent="0.2">
      <c r="A74" s="15" t="s">
        <v>128</v>
      </c>
      <c r="B74" s="15"/>
      <c r="D74" s="15"/>
      <c r="E74" s="15"/>
      <c r="F74" s="15"/>
      <c r="G74" s="16">
        <v>45809</v>
      </c>
      <c r="H74" s="17"/>
      <c r="I74" s="17"/>
      <c r="J74" s="17"/>
      <c r="K74" s="17"/>
      <c r="L74" s="17"/>
      <c r="M74" s="17"/>
      <c r="N74" s="17"/>
      <c r="O74" s="17"/>
      <c r="P74" s="17"/>
    </row>
    <row r="75" spans="1:16" x14ac:dyDescent="0.2">
      <c r="A75" s="15" t="s">
        <v>114</v>
      </c>
      <c r="B75" s="15"/>
      <c r="D75" s="15"/>
      <c r="E75" s="15"/>
      <c r="F75" s="15"/>
      <c r="G75" s="16">
        <v>45809</v>
      </c>
      <c r="H75" s="17"/>
      <c r="I75" s="17"/>
      <c r="J75" s="17"/>
      <c r="K75" s="17"/>
      <c r="L75" s="17"/>
      <c r="M75" s="17"/>
      <c r="N75" s="17"/>
      <c r="O75" s="17"/>
      <c r="P75" s="17"/>
    </row>
    <row r="76" spans="1:16" x14ac:dyDescent="0.2">
      <c r="A76" s="15" t="s">
        <v>95</v>
      </c>
      <c r="B76" s="15"/>
      <c r="D76" s="15"/>
      <c r="E76" s="15"/>
      <c r="F76" s="15"/>
      <c r="G76" s="16">
        <v>45809</v>
      </c>
      <c r="H76" s="17"/>
      <c r="I76" s="17"/>
      <c r="J76" s="17"/>
      <c r="K76" s="17"/>
      <c r="L76" s="17"/>
      <c r="M76" s="17"/>
      <c r="N76" s="17"/>
      <c r="O76" s="17"/>
      <c r="P76" s="17"/>
    </row>
    <row r="77" spans="1:16" x14ac:dyDescent="0.2">
      <c r="A77" s="15" t="s">
        <v>129</v>
      </c>
      <c r="B77" s="15"/>
      <c r="D77" s="15"/>
      <c r="E77" s="15"/>
      <c r="F77" s="15"/>
      <c r="G77" s="16">
        <v>45809</v>
      </c>
      <c r="H77" s="17"/>
      <c r="I77" s="17"/>
      <c r="J77" s="17"/>
      <c r="K77" s="17"/>
      <c r="L77" s="17"/>
      <c r="M77" s="17"/>
      <c r="N77" s="17"/>
      <c r="O77" s="17"/>
      <c r="P77" s="17"/>
    </row>
    <row r="78" spans="1:16" x14ac:dyDescent="0.2">
      <c r="A78" s="15" t="s">
        <v>165</v>
      </c>
      <c r="B78" s="15"/>
      <c r="D78" s="15"/>
      <c r="E78" s="15"/>
      <c r="F78" s="15"/>
      <c r="G78" s="16">
        <v>45809</v>
      </c>
      <c r="H78" s="17"/>
      <c r="I78" s="17"/>
      <c r="J78" s="17"/>
      <c r="K78" s="17"/>
      <c r="L78" s="17"/>
      <c r="M78" s="17"/>
      <c r="N78" s="17"/>
      <c r="O78" s="17"/>
      <c r="P78" s="17"/>
    </row>
    <row r="79" spans="1:16" x14ac:dyDescent="0.2">
      <c r="A79" s="15" t="s">
        <v>160</v>
      </c>
      <c r="B79" s="15"/>
      <c r="D79" s="15"/>
      <c r="E79" s="15"/>
      <c r="F79" s="15"/>
      <c r="G79" s="16">
        <v>45809</v>
      </c>
      <c r="H79" s="17"/>
      <c r="I79" s="17"/>
      <c r="J79" s="17"/>
      <c r="K79" s="17"/>
      <c r="L79" s="17"/>
      <c r="M79" s="17"/>
      <c r="N79" s="17"/>
      <c r="O79" s="17"/>
      <c r="P79" s="17"/>
    </row>
    <row r="80" spans="1:16" x14ac:dyDescent="0.2">
      <c r="A80" s="15" t="s">
        <v>186</v>
      </c>
      <c r="B80" s="15"/>
      <c r="D80" s="15"/>
      <c r="E80" s="15"/>
      <c r="F80" s="15"/>
      <c r="G80" s="16">
        <v>45809</v>
      </c>
      <c r="H80" s="17"/>
      <c r="I80" s="17"/>
      <c r="J80" s="17"/>
      <c r="K80" s="17"/>
      <c r="L80" s="17"/>
      <c r="M80" s="17"/>
      <c r="N80" s="17"/>
      <c r="O80" s="17"/>
      <c r="P80" s="17"/>
    </row>
    <row r="81" spans="1:16" x14ac:dyDescent="0.2">
      <c r="A81" s="15" t="s">
        <v>127</v>
      </c>
      <c r="B81" s="15"/>
      <c r="D81" s="15"/>
      <c r="E81" s="15"/>
      <c r="F81" s="15"/>
      <c r="G81" s="16">
        <v>45809</v>
      </c>
      <c r="H81" s="17"/>
      <c r="I81" s="17"/>
      <c r="J81" s="17"/>
      <c r="K81" s="17"/>
      <c r="L81" s="17"/>
      <c r="M81" s="17"/>
      <c r="N81" s="17"/>
      <c r="O81" s="17"/>
      <c r="P81" s="17"/>
    </row>
    <row r="82" spans="1:16" x14ac:dyDescent="0.2">
      <c r="A82" s="15" t="s">
        <v>121</v>
      </c>
      <c r="B82" s="15"/>
      <c r="D82" s="15"/>
      <c r="E82" s="15"/>
      <c r="F82" s="15"/>
      <c r="G82" s="16">
        <v>45809</v>
      </c>
      <c r="H82" s="17"/>
      <c r="I82" s="17"/>
      <c r="J82" s="17"/>
      <c r="K82" s="17"/>
      <c r="L82" s="17"/>
      <c r="M82" s="17"/>
      <c r="N82" s="17"/>
      <c r="O82" s="17"/>
      <c r="P82" s="17"/>
    </row>
    <row r="83" spans="1:16" x14ac:dyDescent="0.2">
      <c r="A83" s="15" t="s">
        <v>157</v>
      </c>
      <c r="B83" s="15"/>
      <c r="D83" s="15"/>
      <c r="E83" s="15"/>
      <c r="F83" s="15"/>
      <c r="G83" s="16">
        <v>45809</v>
      </c>
      <c r="H83" s="17"/>
      <c r="I83" s="17"/>
      <c r="J83" s="17"/>
      <c r="K83" s="17"/>
      <c r="L83" s="17"/>
      <c r="M83" s="17"/>
      <c r="N83" s="17"/>
      <c r="O83" s="17"/>
      <c r="P83" s="17"/>
    </row>
    <row r="84" spans="1:16" x14ac:dyDescent="0.2">
      <c r="A84" s="15" t="s">
        <v>159</v>
      </c>
      <c r="B84" s="15"/>
      <c r="D84" s="15"/>
      <c r="E84" s="15"/>
      <c r="F84" s="15"/>
      <c r="G84" s="16">
        <v>45809</v>
      </c>
      <c r="H84" s="17"/>
      <c r="I84" s="17"/>
      <c r="J84" s="17"/>
      <c r="K84" s="17"/>
      <c r="L84" s="17"/>
      <c r="M84" s="17"/>
      <c r="N84" s="17"/>
      <c r="O84" s="17"/>
      <c r="P84" s="17"/>
    </row>
    <row r="85" spans="1:16" x14ac:dyDescent="0.2">
      <c r="A85" s="15" t="s">
        <v>185</v>
      </c>
      <c r="B85" s="15"/>
      <c r="D85" s="15"/>
      <c r="E85" s="15"/>
      <c r="F85" s="15"/>
      <c r="G85" s="16">
        <v>45809</v>
      </c>
      <c r="H85" s="17"/>
      <c r="I85" s="17"/>
      <c r="J85" s="17"/>
      <c r="K85" s="17"/>
      <c r="L85" s="17"/>
      <c r="M85" s="17"/>
      <c r="N85" s="17"/>
      <c r="O85" s="17"/>
      <c r="P85" s="17"/>
    </row>
    <row r="86" spans="1:16" x14ac:dyDescent="0.2">
      <c r="A86" s="15" t="s">
        <v>167</v>
      </c>
      <c r="B86" s="15"/>
      <c r="D86" s="15"/>
      <c r="E86" s="15"/>
      <c r="F86" s="15"/>
      <c r="G86" s="16">
        <v>45809</v>
      </c>
      <c r="H86" s="17"/>
      <c r="I86" s="17"/>
      <c r="J86" s="17"/>
      <c r="K86" s="17"/>
      <c r="L86" s="17"/>
      <c r="M86" s="17"/>
      <c r="N86" s="17"/>
      <c r="O86" s="17"/>
      <c r="P86" s="17"/>
    </row>
    <row r="87" spans="1:16" x14ac:dyDescent="0.2">
      <c r="A87" s="15" t="s">
        <v>169</v>
      </c>
      <c r="B87" s="15"/>
      <c r="D87" s="15"/>
      <c r="E87" s="15"/>
      <c r="F87" s="15"/>
      <c r="G87" s="16">
        <v>45809</v>
      </c>
      <c r="H87" s="17"/>
      <c r="I87" s="17"/>
      <c r="J87" s="17"/>
      <c r="K87" s="17"/>
      <c r="L87" s="17"/>
      <c r="M87" s="17"/>
      <c r="N87" s="17"/>
      <c r="O87" s="17"/>
      <c r="P87" s="17"/>
    </row>
    <row r="88" spans="1:16" x14ac:dyDescent="0.2">
      <c r="A88" s="15" t="s">
        <v>178</v>
      </c>
      <c r="B88" s="15"/>
      <c r="D88" s="15"/>
      <c r="E88" s="15"/>
      <c r="F88" s="15"/>
      <c r="G88" s="16">
        <v>45809</v>
      </c>
      <c r="H88" s="17"/>
      <c r="I88" s="17"/>
      <c r="J88" s="17"/>
      <c r="K88" s="17"/>
      <c r="L88" s="17"/>
      <c r="M88" s="17"/>
      <c r="N88" s="17"/>
      <c r="O88" s="17"/>
      <c r="P88" s="17"/>
    </row>
    <row r="89" spans="1:16" x14ac:dyDescent="0.2">
      <c r="A89" s="15" t="s">
        <v>176</v>
      </c>
      <c r="B89" s="15"/>
      <c r="D89" s="15"/>
      <c r="E89" s="15"/>
      <c r="F89" s="15"/>
      <c r="G89" s="16">
        <v>45809</v>
      </c>
      <c r="H89" s="17"/>
      <c r="I89" s="17"/>
      <c r="J89" s="17"/>
      <c r="K89" s="17"/>
      <c r="L89" s="17"/>
      <c r="M89" s="17"/>
      <c r="N89" s="17"/>
      <c r="O89" s="17"/>
      <c r="P89" s="17"/>
    </row>
    <row r="90" spans="1:16" x14ac:dyDescent="0.2">
      <c r="A90" s="15" t="s">
        <v>177</v>
      </c>
      <c r="B90" s="15"/>
      <c r="D90" s="15"/>
      <c r="E90" s="15"/>
      <c r="F90" s="15"/>
      <c r="G90" s="16">
        <v>45809</v>
      </c>
      <c r="H90" s="17"/>
      <c r="I90" s="17"/>
      <c r="J90" s="17"/>
      <c r="K90" s="17"/>
      <c r="L90" s="17"/>
      <c r="M90" s="17"/>
      <c r="N90" s="17"/>
      <c r="O90" s="17"/>
      <c r="P90" s="17"/>
    </row>
    <row r="91" spans="1:16" x14ac:dyDescent="0.2">
      <c r="A91" s="15" t="s">
        <v>181</v>
      </c>
      <c r="B91" s="15"/>
      <c r="D91" s="15"/>
      <c r="E91" s="15"/>
      <c r="F91" s="15"/>
      <c r="G91" s="16">
        <v>45809</v>
      </c>
      <c r="H91" s="17"/>
      <c r="I91" s="17"/>
      <c r="J91" s="17"/>
      <c r="K91" s="17"/>
      <c r="L91" s="17"/>
      <c r="M91" s="17"/>
      <c r="N91" s="17"/>
      <c r="O91" s="17"/>
      <c r="P91" s="17"/>
    </row>
    <row r="92" spans="1:16" x14ac:dyDescent="0.2">
      <c r="A92" s="15" t="s">
        <v>183</v>
      </c>
      <c r="B92" s="15"/>
      <c r="D92" s="15"/>
      <c r="E92" s="15"/>
      <c r="F92" s="15"/>
      <c r="G92" s="16">
        <v>45809</v>
      </c>
      <c r="H92" s="17"/>
      <c r="I92" s="17"/>
      <c r="J92" s="17"/>
      <c r="K92" s="17"/>
      <c r="L92" s="17"/>
      <c r="M92" s="17"/>
      <c r="N92" s="17"/>
      <c r="O92" s="17"/>
      <c r="P92" s="17"/>
    </row>
    <row r="93" spans="1:16" x14ac:dyDescent="0.2">
      <c r="A93" s="15" t="s">
        <v>187</v>
      </c>
      <c r="B93" s="15"/>
      <c r="D93" s="15"/>
      <c r="E93" s="15"/>
      <c r="F93" s="15"/>
      <c r="G93" s="16">
        <v>45809</v>
      </c>
      <c r="H93" s="17"/>
      <c r="I93" s="17"/>
      <c r="J93" s="17"/>
      <c r="K93" s="17"/>
      <c r="L93" s="17"/>
      <c r="M93" s="17"/>
      <c r="N93" s="17"/>
      <c r="O93" s="17"/>
      <c r="P93" s="17"/>
    </row>
    <row r="94" spans="1:16" x14ac:dyDescent="0.2">
      <c r="A94" s="15" t="s">
        <v>184</v>
      </c>
      <c r="B94" s="15"/>
      <c r="D94" s="15"/>
      <c r="E94" s="15"/>
      <c r="F94" s="15"/>
      <c r="G94" s="16">
        <v>45809</v>
      </c>
      <c r="H94" s="17"/>
      <c r="I94" s="17"/>
      <c r="J94" s="17"/>
      <c r="K94" s="17"/>
      <c r="L94" s="17"/>
      <c r="M94" s="17"/>
      <c r="N94" s="17"/>
      <c r="O94" s="17"/>
      <c r="P94" s="17"/>
    </row>
    <row r="95" spans="1:16" x14ac:dyDescent="0.2">
      <c r="A95" s="15" t="s">
        <v>171</v>
      </c>
      <c r="B95" s="15"/>
      <c r="D95" s="15"/>
      <c r="E95" s="15"/>
      <c r="F95" s="15"/>
      <c r="G95" s="16">
        <v>45809</v>
      </c>
      <c r="H95" s="17"/>
      <c r="I95" s="17"/>
      <c r="J95" s="17"/>
      <c r="K95" s="17"/>
      <c r="L95" s="17"/>
      <c r="M95" s="17"/>
      <c r="N95" s="17"/>
      <c r="O95" s="17"/>
      <c r="P95" s="17"/>
    </row>
    <row r="96" spans="1:16" x14ac:dyDescent="0.2">
      <c r="A96" s="15" t="s">
        <v>174</v>
      </c>
      <c r="B96" s="15"/>
      <c r="D96" s="15"/>
      <c r="E96" s="15"/>
      <c r="F96" s="15"/>
      <c r="G96" s="16">
        <v>45809</v>
      </c>
      <c r="H96" s="17"/>
      <c r="I96" s="17"/>
      <c r="J96" s="17"/>
      <c r="K96" s="17"/>
      <c r="L96" s="17"/>
      <c r="M96" s="17"/>
      <c r="N96" s="17"/>
      <c r="O96" s="17"/>
      <c r="P96" s="17"/>
    </row>
    <row r="97" spans="1:16" x14ac:dyDescent="0.2">
      <c r="A97" s="15" t="s">
        <v>172</v>
      </c>
      <c r="B97" s="15"/>
      <c r="D97" s="15"/>
      <c r="E97" s="15"/>
      <c r="F97" s="15"/>
      <c r="G97" s="16">
        <v>45809</v>
      </c>
      <c r="H97" s="17"/>
      <c r="I97" s="17"/>
      <c r="J97" s="17"/>
      <c r="K97" s="17"/>
      <c r="L97" s="17"/>
      <c r="M97" s="17"/>
      <c r="N97" s="17"/>
      <c r="O97" s="17"/>
      <c r="P97" s="17"/>
    </row>
    <row r="98" spans="1:16" x14ac:dyDescent="0.2">
      <c r="A98" s="15" t="s">
        <v>182</v>
      </c>
      <c r="B98" s="15"/>
      <c r="D98" s="15"/>
      <c r="E98" s="15"/>
      <c r="F98" s="15"/>
      <c r="G98" s="16">
        <v>45809</v>
      </c>
      <c r="H98" s="17"/>
      <c r="I98" s="17"/>
      <c r="J98" s="17"/>
      <c r="K98" s="17"/>
      <c r="L98" s="17"/>
      <c r="M98" s="17"/>
      <c r="N98" s="17"/>
      <c r="O98" s="17"/>
      <c r="P98" s="17"/>
    </row>
    <row r="99" spans="1:16" x14ac:dyDescent="0.2">
      <c r="A99" s="15" t="s">
        <v>168</v>
      </c>
      <c r="B99" s="15"/>
      <c r="D99" s="15"/>
      <c r="E99" s="15"/>
      <c r="F99" s="15"/>
      <c r="G99" s="16">
        <v>45809</v>
      </c>
      <c r="H99" s="17"/>
      <c r="I99" s="17"/>
      <c r="J99" s="17"/>
      <c r="K99" s="17"/>
      <c r="L99" s="17"/>
      <c r="M99" s="17"/>
      <c r="N99" s="17"/>
      <c r="O99" s="17"/>
      <c r="P99" s="17"/>
    </row>
    <row r="100" spans="1:16" x14ac:dyDescent="0.2">
      <c r="A100" s="15" t="s">
        <v>170</v>
      </c>
      <c r="B100" s="15"/>
      <c r="D100" s="15"/>
      <c r="E100" s="15"/>
      <c r="F100" s="15"/>
      <c r="G100" s="16">
        <v>45809</v>
      </c>
      <c r="H100" s="17"/>
      <c r="I100" s="17"/>
      <c r="J100" s="17"/>
      <c r="K100" s="17"/>
      <c r="L100" s="17"/>
      <c r="M100" s="17"/>
      <c r="N100" s="17"/>
      <c r="O100" s="17"/>
      <c r="P100" s="17"/>
    </row>
    <row r="101" spans="1:16" x14ac:dyDescent="0.2">
      <c r="A101" s="15" t="s">
        <v>173</v>
      </c>
      <c r="B101" s="15"/>
      <c r="D101" s="15"/>
      <c r="E101" s="15"/>
      <c r="F101" s="15"/>
      <c r="G101" s="16">
        <v>45809</v>
      </c>
      <c r="H101" s="17"/>
      <c r="I101" s="17"/>
      <c r="J101" s="17"/>
      <c r="K101" s="17"/>
      <c r="L101" s="17"/>
      <c r="M101" s="17"/>
      <c r="N101" s="17"/>
      <c r="O101" s="17"/>
      <c r="P101" s="17"/>
    </row>
    <row r="102" spans="1:16" x14ac:dyDescent="0.2">
      <c r="A102" s="15" t="s">
        <v>180</v>
      </c>
      <c r="B102" s="15"/>
      <c r="D102" s="15"/>
      <c r="E102" s="15"/>
      <c r="F102" s="15"/>
      <c r="G102" s="16">
        <v>45809</v>
      </c>
      <c r="H102" s="17"/>
      <c r="I102" s="17"/>
      <c r="J102" s="17"/>
      <c r="K102" s="17"/>
      <c r="L102" s="17"/>
      <c r="M102" s="17"/>
      <c r="N102" s="17"/>
      <c r="O102" s="17"/>
      <c r="P102" s="17"/>
    </row>
    <row r="103" spans="1:16" x14ac:dyDescent="0.2">
      <c r="A103" s="15" t="s">
        <v>62</v>
      </c>
      <c r="B103" s="15"/>
      <c r="D103" s="15"/>
      <c r="E103" s="15"/>
      <c r="F103" s="15"/>
      <c r="G103" s="16">
        <v>45809</v>
      </c>
      <c r="H103" s="17"/>
      <c r="I103" s="17"/>
      <c r="J103" s="17"/>
      <c r="K103" s="17"/>
      <c r="L103" s="17"/>
      <c r="M103" s="17"/>
      <c r="N103" s="17"/>
      <c r="O103" s="17"/>
      <c r="P103" s="17"/>
    </row>
    <row r="104" spans="1:16" x14ac:dyDescent="0.2">
      <c r="A104" s="15" t="s">
        <v>223</v>
      </c>
      <c r="B104" s="15"/>
      <c r="D104" s="15"/>
      <c r="E104" s="15"/>
      <c r="F104" s="15"/>
      <c r="G104" s="16">
        <v>45809</v>
      </c>
      <c r="H104" s="17"/>
      <c r="I104" s="17"/>
      <c r="J104" s="17"/>
      <c r="K104" s="17"/>
      <c r="L104" s="17"/>
      <c r="M104" s="17"/>
      <c r="N104" s="17"/>
      <c r="O104" s="17"/>
      <c r="P104" s="17"/>
    </row>
    <row r="105" spans="1:16" x14ac:dyDescent="0.2">
      <c r="A105" s="15" t="s">
        <v>188</v>
      </c>
      <c r="B105" s="15"/>
      <c r="D105" s="15"/>
      <c r="E105" s="15"/>
      <c r="F105" s="15"/>
      <c r="G105" s="16">
        <v>45809</v>
      </c>
      <c r="H105" s="17"/>
      <c r="I105" s="17"/>
      <c r="J105" s="17"/>
      <c r="K105" s="17"/>
      <c r="L105" s="17"/>
      <c r="M105" s="17"/>
      <c r="N105" s="17"/>
      <c r="O105" s="17"/>
      <c r="P105" s="17"/>
    </row>
    <row r="106" spans="1:16" x14ac:dyDescent="0.2">
      <c r="A106" s="15" t="s">
        <v>207</v>
      </c>
      <c r="B106" s="15"/>
      <c r="D106" s="15"/>
      <c r="E106" s="15"/>
      <c r="F106" s="15"/>
      <c r="G106" s="16">
        <v>45809</v>
      </c>
      <c r="H106" s="17"/>
      <c r="I106" s="17"/>
      <c r="J106" s="17"/>
      <c r="K106" s="17"/>
      <c r="L106" s="17"/>
      <c r="M106" s="17"/>
      <c r="N106" s="17"/>
      <c r="O106" s="17"/>
      <c r="P106" s="17"/>
    </row>
    <row r="107" spans="1:16" x14ac:dyDescent="0.2">
      <c r="A107" s="15" t="s">
        <v>234</v>
      </c>
      <c r="B107" s="15"/>
      <c r="D107" s="15"/>
      <c r="E107" s="15"/>
      <c r="F107" s="15"/>
      <c r="G107" s="16">
        <v>45809</v>
      </c>
      <c r="H107" s="17"/>
      <c r="I107" s="17"/>
      <c r="J107" s="17"/>
      <c r="K107" s="17"/>
      <c r="L107" s="17"/>
      <c r="M107" s="17"/>
      <c r="N107" s="17"/>
      <c r="O107" s="17"/>
      <c r="P107" s="17"/>
    </row>
    <row r="108" spans="1:16" x14ac:dyDescent="0.2">
      <c r="A108" s="15" t="s">
        <v>205</v>
      </c>
      <c r="B108" s="15"/>
      <c r="D108" s="15"/>
      <c r="E108" s="15"/>
      <c r="F108" s="15"/>
      <c r="G108" s="16">
        <v>45809</v>
      </c>
      <c r="H108" s="17"/>
      <c r="I108" s="17"/>
      <c r="J108" s="17"/>
      <c r="K108" s="17"/>
      <c r="L108" s="17"/>
      <c r="M108" s="17"/>
      <c r="N108" s="17"/>
      <c r="O108" s="17"/>
      <c r="P108" s="17"/>
    </row>
    <row r="109" spans="1:16" x14ac:dyDescent="0.2">
      <c r="A109" s="15" t="s">
        <v>209</v>
      </c>
      <c r="B109" s="15"/>
      <c r="D109" s="15"/>
      <c r="E109" s="15"/>
      <c r="F109" s="15"/>
      <c r="G109" s="16">
        <v>45809</v>
      </c>
      <c r="H109" s="17"/>
      <c r="I109" s="17"/>
      <c r="J109" s="17"/>
      <c r="K109" s="17"/>
      <c r="L109" s="17"/>
      <c r="M109" s="17"/>
      <c r="N109" s="17"/>
      <c r="O109" s="17"/>
      <c r="P109" s="17"/>
    </row>
    <row r="110" spans="1:16" x14ac:dyDescent="0.2">
      <c r="A110" s="15" t="s">
        <v>213</v>
      </c>
      <c r="B110" s="15"/>
      <c r="D110" s="15"/>
      <c r="E110" s="15"/>
      <c r="F110" s="15"/>
      <c r="G110" s="16">
        <v>45809</v>
      </c>
      <c r="H110" s="17"/>
      <c r="I110" s="17"/>
      <c r="J110" s="17"/>
      <c r="K110" s="17"/>
      <c r="L110" s="17"/>
      <c r="M110" s="17"/>
      <c r="N110" s="17"/>
      <c r="O110" s="17"/>
      <c r="P110" s="17"/>
    </row>
    <row r="111" spans="1:16" x14ac:dyDescent="0.2">
      <c r="A111" s="15" t="s">
        <v>240</v>
      </c>
      <c r="B111" s="15"/>
      <c r="D111" s="15"/>
      <c r="E111" s="15"/>
      <c r="F111" s="15"/>
      <c r="G111" s="16">
        <v>45809</v>
      </c>
      <c r="H111" s="17"/>
      <c r="I111" s="17"/>
      <c r="J111" s="17"/>
      <c r="K111" s="17"/>
      <c r="L111" s="17"/>
      <c r="M111" s="17"/>
      <c r="N111" s="17"/>
      <c r="O111" s="17"/>
      <c r="P111" s="17"/>
    </row>
    <row r="112" spans="1:16" x14ac:dyDescent="0.2">
      <c r="A112" s="15" t="s">
        <v>243</v>
      </c>
      <c r="B112" s="15"/>
      <c r="D112" s="15"/>
      <c r="E112" s="15"/>
      <c r="F112" s="15"/>
      <c r="G112" s="16">
        <v>45809</v>
      </c>
      <c r="H112" s="17"/>
      <c r="I112" s="17"/>
      <c r="J112" s="17"/>
      <c r="K112" s="17"/>
      <c r="L112" s="17"/>
      <c r="M112" s="17"/>
      <c r="N112" s="17"/>
      <c r="O112" s="17"/>
      <c r="P112" s="17"/>
    </row>
    <row r="113" spans="1:16" x14ac:dyDescent="0.2">
      <c r="A113" s="15" t="s">
        <v>191</v>
      </c>
      <c r="B113" s="15"/>
      <c r="D113" s="15"/>
      <c r="E113" s="15"/>
      <c r="F113" s="15"/>
      <c r="G113" s="16">
        <v>45809</v>
      </c>
      <c r="H113" s="17"/>
      <c r="I113" s="17"/>
      <c r="J113" s="17"/>
      <c r="K113" s="17"/>
      <c r="L113" s="17"/>
      <c r="M113" s="17"/>
      <c r="N113" s="17"/>
      <c r="O113" s="17"/>
      <c r="P113" s="17"/>
    </row>
    <row r="114" spans="1:16" x14ac:dyDescent="0.2">
      <c r="A114" s="15" t="s">
        <v>225</v>
      </c>
      <c r="B114" s="15"/>
      <c r="D114" s="15"/>
      <c r="E114" s="15"/>
      <c r="F114" s="15"/>
      <c r="G114" s="16">
        <v>45809</v>
      </c>
      <c r="H114" s="17"/>
      <c r="I114" s="17"/>
      <c r="J114" s="17"/>
      <c r="K114" s="17"/>
      <c r="L114" s="17"/>
      <c r="M114" s="17"/>
      <c r="N114" s="17"/>
      <c r="O114" s="17"/>
      <c r="P114" s="17"/>
    </row>
    <row r="115" spans="1:16" x14ac:dyDescent="0.2">
      <c r="A115" s="15" t="s">
        <v>192</v>
      </c>
      <c r="B115" s="15"/>
      <c r="D115" s="15"/>
      <c r="E115" s="15"/>
      <c r="F115" s="15"/>
      <c r="G115" s="16">
        <v>45809</v>
      </c>
      <c r="H115" s="17"/>
      <c r="I115" s="17"/>
      <c r="J115" s="17"/>
      <c r="K115" s="17"/>
      <c r="L115" s="17"/>
      <c r="M115" s="17"/>
      <c r="N115" s="17"/>
      <c r="O115" s="17"/>
      <c r="P115" s="17"/>
    </row>
    <row r="116" spans="1:16" x14ac:dyDescent="0.2">
      <c r="A116" s="15" t="s">
        <v>195</v>
      </c>
      <c r="B116" s="15"/>
      <c r="D116" s="15"/>
      <c r="E116" s="15"/>
      <c r="F116" s="15"/>
      <c r="G116" s="16">
        <v>45809</v>
      </c>
      <c r="H116" s="17"/>
      <c r="I116" s="17"/>
      <c r="J116" s="17"/>
      <c r="K116" s="17"/>
      <c r="L116" s="17"/>
      <c r="M116" s="17"/>
      <c r="N116" s="17"/>
      <c r="O116" s="17"/>
      <c r="P116" s="17"/>
    </row>
    <row r="117" spans="1:16" x14ac:dyDescent="0.2">
      <c r="A117" s="15" t="s">
        <v>193</v>
      </c>
      <c r="B117" s="15"/>
      <c r="D117" s="15"/>
      <c r="E117" s="15"/>
      <c r="F117" s="15"/>
      <c r="G117" s="16">
        <v>45809</v>
      </c>
      <c r="H117" s="17"/>
      <c r="I117" s="17"/>
      <c r="J117" s="17"/>
      <c r="K117" s="17"/>
      <c r="L117" s="17"/>
      <c r="M117" s="17"/>
      <c r="N117" s="17"/>
      <c r="O117" s="17"/>
      <c r="P117" s="17"/>
    </row>
    <row r="118" spans="1:16" x14ac:dyDescent="0.2">
      <c r="A118" s="15" t="s">
        <v>196</v>
      </c>
      <c r="B118" s="15"/>
      <c r="D118" s="15"/>
      <c r="E118" s="15"/>
      <c r="F118" s="15"/>
      <c r="G118" s="16">
        <v>45809</v>
      </c>
      <c r="H118" s="17"/>
      <c r="I118" s="17"/>
      <c r="J118" s="17"/>
      <c r="K118" s="17"/>
      <c r="L118" s="17"/>
      <c r="M118" s="17"/>
      <c r="N118" s="17"/>
      <c r="O118" s="17"/>
      <c r="P118" s="17"/>
    </row>
    <row r="119" spans="1:16" x14ac:dyDescent="0.2">
      <c r="A119" s="15" t="s">
        <v>227</v>
      </c>
      <c r="B119" s="15"/>
      <c r="D119" s="15"/>
      <c r="E119" s="15"/>
      <c r="F119" s="15"/>
      <c r="G119" s="16">
        <v>45809</v>
      </c>
      <c r="H119" s="17"/>
      <c r="I119" s="17"/>
      <c r="J119" s="17"/>
      <c r="K119" s="17"/>
      <c r="L119" s="17"/>
      <c r="M119" s="17"/>
      <c r="N119" s="17"/>
      <c r="O119" s="17"/>
      <c r="P119" s="17"/>
    </row>
    <row r="120" spans="1:16" x14ac:dyDescent="0.2">
      <c r="A120" s="15" t="s">
        <v>197</v>
      </c>
      <c r="B120" s="15"/>
      <c r="D120" s="15"/>
      <c r="E120" s="15"/>
      <c r="F120" s="15"/>
      <c r="G120" s="16">
        <v>45809</v>
      </c>
      <c r="H120" s="17"/>
      <c r="I120" s="17"/>
      <c r="J120" s="17"/>
      <c r="K120" s="17"/>
      <c r="L120" s="17"/>
      <c r="M120" s="17"/>
      <c r="N120" s="17"/>
      <c r="O120" s="17"/>
      <c r="P120" s="17"/>
    </row>
    <row r="121" spans="1:16" x14ac:dyDescent="0.2">
      <c r="A121" s="15" t="s">
        <v>200</v>
      </c>
      <c r="B121" s="15"/>
      <c r="D121" s="15"/>
      <c r="E121" s="15"/>
      <c r="F121" s="15"/>
      <c r="G121" s="16">
        <v>45809</v>
      </c>
      <c r="H121" s="17"/>
      <c r="I121" s="17"/>
      <c r="J121" s="17"/>
      <c r="K121" s="17"/>
      <c r="L121" s="17"/>
      <c r="M121" s="17"/>
      <c r="N121" s="17"/>
      <c r="O121" s="17"/>
      <c r="P121" s="17"/>
    </row>
    <row r="122" spans="1:16" x14ac:dyDescent="0.2">
      <c r="A122" s="15" t="s">
        <v>199</v>
      </c>
      <c r="B122" s="15"/>
      <c r="D122" s="15"/>
      <c r="E122" s="15"/>
      <c r="F122" s="15"/>
      <c r="G122" s="16">
        <v>45809</v>
      </c>
      <c r="H122" s="17"/>
      <c r="I122" s="17"/>
      <c r="J122" s="17"/>
      <c r="K122" s="17"/>
      <c r="L122" s="17"/>
      <c r="M122" s="17"/>
      <c r="N122" s="17"/>
      <c r="O122" s="17"/>
      <c r="P122" s="17"/>
    </row>
    <row r="123" spans="1:16" x14ac:dyDescent="0.2">
      <c r="A123" s="15" t="s">
        <v>201</v>
      </c>
      <c r="B123" s="15"/>
      <c r="D123" s="15"/>
      <c r="E123" s="15"/>
      <c r="F123" s="15"/>
      <c r="G123" s="16">
        <v>45809</v>
      </c>
      <c r="H123" s="17"/>
      <c r="I123" s="17"/>
      <c r="J123" s="17"/>
      <c r="K123" s="17"/>
      <c r="L123" s="17"/>
      <c r="M123" s="17"/>
      <c r="N123" s="17"/>
      <c r="O123" s="17"/>
      <c r="P123" s="17"/>
    </row>
    <row r="124" spans="1:16" x14ac:dyDescent="0.2">
      <c r="A124" s="15" t="s">
        <v>202</v>
      </c>
      <c r="B124" s="15"/>
      <c r="D124" s="15"/>
      <c r="E124" s="15"/>
      <c r="F124" s="15"/>
      <c r="G124" s="16">
        <v>45809</v>
      </c>
      <c r="H124" s="17"/>
      <c r="I124" s="17"/>
      <c r="J124" s="17"/>
      <c r="K124" s="17"/>
      <c r="L124" s="17"/>
      <c r="M124" s="17"/>
      <c r="N124" s="17"/>
      <c r="O124" s="17"/>
      <c r="P124" s="17"/>
    </row>
    <row r="125" spans="1:16" x14ac:dyDescent="0.2">
      <c r="A125" s="15" t="s">
        <v>228</v>
      </c>
      <c r="B125" s="15"/>
      <c r="D125" s="15"/>
      <c r="E125" s="15"/>
      <c r="F125" s="15"/>
      <c r="G125" s="16">
        <v>45809</v>
      </c>
      <c r="H125" s="17"/>
      <c r="I125" s="17"/>
      <c r="J125" s="17"/>
      <c r="K125" s="17"/>
      <c r="L125" s="17"/>
      <c r="M125" s="17"/>
      <c r="N125" s="17"/>
      <c r="O125" s="17"/>
      <c r="P125" s="17"/>
    </row>
    <row r="126" spans="1:16" x14ac:dyDescent="0.2">
      <c r="A126" s="15" t="s">
        <v>224</v>
      </c>
      <c r="B126" s="15"/>
      <c r="D126" s="15"/>
      <c r="E126" s="15"/>
      <c r="F126" s="15"/>
      <c r="G126" s="16">
        <v>45809</v>
      </c>
      <c r="H126" s="17"/>
      <c r="I126" s="17"/>
      <c r="J126" s="17"/>
      <c r="K126" s="17"/>
      <c r="L126" s="17"/>
      <c r="M126" s="17"/>
      <c r="N126" s="17"/>
      <c r="O126" s="17"/>
      <c r="P126" s="17"/>
    </row>
    <row r="127" spans="1:16" x14ac:dyDescent="0.2">
      <c r="A127" s="15" t="s">
        <v>194</v>
      </c>
      <c r="B127" s="15"/>
      <c r="D127" s="15"/>
      <c r="E127" s="15"/>
      <c r="F127" s="15"/>
      <c r="G127" s="16">
        <v>45809</v>
      </c>
      <c r="H127" s="17"/>
      <c r="I127" s="17"/>
      <c r="J127" s="17"/>
      <c r="K127" s="17"/>
      <c r="L127" s="17"/>
      <c r="M127" s="17"/>
      <c r="N127" s="17"/>
      <c r="O127" s="17"/>
      <c r="P127" s="17"/>
    </row>
    <row r="128" spans="1:16" x14ac:dyDescent="0.2">
      <c r="A128" s="15" t="s">
        <v>190</v>
      </c>
      <c r="B128" s="15"/>
      <c r="D128" s="15"/>
      <c r="E128" s="15"/>
      <c r="F128" s="15"/>
      <c r="G128" s="16">
        <v>45809</v>
      </c>
      <c r="H128" s="17"/>
      <c r="I128" s="17"/>
      <c r="J128" s="17"/>
      <c r="K128" s="17"/>
      <c r="L128" s="17"/>
      <c r="M128" s="17"/>
      <c r="N128" s="17"/>
      <c r="O128" s="17"/>
      <c r="P128" s="17"/>
    </row>
    <row r="129" spans="1:16" x14ac:dyDescent="0.2">
      <c r="A129" s="15" t="s">
        <v>226</v>
      </c>
      <c r="B129" s="15"/>
      <c r="D129" s="15"/>
      <c r="E129" s="15"/>
      <c r="F129" s="15"/>
      <c r="G129" s="16">
        <v>45809</v>
      </c>
      <c r="H129" s="17"/>
      <c r="I129" s="17"/>
      <c r="J129" s="17"/>
      <c r="K129" s="17"/>
      <c r="L129" s="17"/>
      <c r="M129" s="17"/>
      <c r="N129" s="17"/>
      <c r="O129" s="17"/>
      <c r="P129" s="17"/>
    </row>
    <row r="130" spans="1:16" x14ac:dyDescent="0.2">
      <c r="A130" s="15" t="s">
        <v>198</v>
      </c>
      <c r="B130" s="15"/>
      <c r="D130" s="15"/>
      <c r="E130" s="15"/>
      <c r="F130" s="15"/>
      <c r="G130" s="16">
        <v>45809</v>
      </c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1:16" x14ac:dyDescent="0.2">
      <c r="A131" s="15" t="s">
        <v>289</v>
      </c>
      <c r="B131" s="15"/>
      <c r="D131" s="15"/>
      <c r="E131" s="15"/>
      <c r="F131" s="15"/>
      <c r="G131" s="16">
        <v>45809</v>
      </c>
      <c r="H131" s="17"/>
      <c r="I131" s="17"/>
      <c r="J131" s="17"/>
      <c r="K131" s="17"/>
      <c r="L131" s="17"/>
      <c r="M131" s="17"/>
      <c r="N131" s="17"/>
      <c r="O131" s="17"/>
      <c r="P131" s="17"/>
    </row>
    <row r="132" spans="1:16" x14ac:dyDescent="0.2">
      <c r="A132" s="15" t="s">
        <v>208</v>
      </c>
      <c r="B132" s="15"/>
      <c r="D132" s="15"/>
      <c r="E132" s="15"/>
      <c r="F132" s="15"/>
      <c r="G132" s="16">
        <v>45809</v>
      </c>
      <c r="H132" s="17"/>
      <c r="I132" s="17"/>
      <c r="J132" s="17"/>
      <c r="K132" s="17"/>
      <c r="L132" s="17"/>
      <c r="M132" s="17"/>
      <c r="N132" s="17"/>
      <c r="O132" s="17"/>
      <c r="P132" s="17"/>
    </row>
    <row r="133" spans="1:16" x14ac:dyDescent="0.2">
      <c r="A133" s="15" t="s">
        <v>236</v>
      </c>
      <c r="B133" s="15"/>
      <c r="D133" s="15"/>
      <c r="E133" s="15"/>
      <c r="F133" s="15"/>
      <c r="G133" s="16">
        <v>45809</v>
      </c>
      <c r="H133" s="17"/>
      <c r="I133" s="17"/>
      <c r="J133" s="17"/>
      <c r="K133" s="17"/>
      <c r="L133" s="17"/>
      <c r="M133" s="17"/>
      <c r="N133" s="17"/>
      <c r="O133" s="17"/>
      <c r="P133" s="17"/>
    </row>
    <row r="134" spans="1:16" x14ac:dyDescent="0.2">
      <c r="A134" s="15" t="s">
        <v>212</v>
      </c>
      <c r="B134" s="15"/>
      <c r="D134" s="15"/>
      <c r="E134" s="15"/>
      <c r="F134" s="15"/>
      <c r="G134" s="16">
        <v>45809</v>
      </c>
      <c r="H134" s="17"/>
      <c r="I134" s="17"/>
      <c r="J134" s="17"/>
      <c r="K134" s="17"/>
      <c r="L134" s="17"/>
      <c r="M134" s="17"/>
      <c r="N134" s="17"/>
      <c r="O134" s="17"/>
      <c r="P134" s="17"/>
    </row>
    <row r="135" spans="1:16" x14ac:dyDescent="0.2">
      <c r="A135" s="15" t="s">
        <v>214</v>
      </c>
      <c r="B135" s="15"/>
      <c r="D135" s="15"/>
      <c r="E135" s="15"/>
      <c r="F135" s="15"/>
      <c r="G135" s="16">
        <v>45809</v>
      </c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1:16" x14ac:dyDescent="0.2">
      <c r="A136" s="15" t="s">
        <v>211</v>
      </c>
      <c r="B136" s="15"/>
      <c r="D136" s="15"/>
      <c r="E136" s="15"/>
      <c r="F136" s="15"/>
      <c r="G136" s="16">
        <v>45809</v>
      </c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1:16" x14ac:dyDescent="0.2">
      <c r="A137" s="15" t="s">
        <v>233</v>
      </c>
      <c r="B137" s="15"/>
      <c r="D137" s="15"/>
      <c r="E137" s="15"/>
      <c r="F137" s="15"/>
      <c r="G137" s="16">
        <v>45809</v>
      </c>
      <c r="H137" s="17"/>
      <c r="I137" s="17"/>
      <c r="J137" s="17"/>
      <c r="K137" s="17"/>
      <c r="L137" s="17"/>
      <c r="M137" s="17"/>
      <c r="N137" s="17"/>
      <c r="O137" s="17"/>
      <c r="P137" s="17"/>
    </row>
    <row r="138" spans="1:16" x14ac:dyDescent="0.2">
      <c r="A138" s="15" t="s">
        <v>235</v>
      </c>
      <c r="B138" s="15"/>
      <c r="D138" s="15"/>
      <c r="E138" s="15"/>
      <c r="F138" s="15"/>
      <c r="G138" s="16">
        <v>45809</v>
      </c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1:16" x14ac:dyDescent="0.2">
      <c r="A139" s="15" t="s">
        <v>215</v>
      </c>
      <c r="B139" s="15"/>
      <c r="D139" s="15"/>
      <c r="E139" s="15"/>
      <c r="F139" s="15"/>
      <c r="G139" s="16">
        <v>45809</v>
      </c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1:16" x14ac:dyDescent="0.2">
      <c r="A140" s="15" t="s">
        <v>237</v>
      </c>
      <c r="B140" s="15"/>
      <c r="D140" s="15"/>
      <c r="E140" s="15"/>
      <c r="F140" s="15"/>
      <c r="G140" s="16">
        <v>45809</v>
      </c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1:16" x14ac:dyDescent="0.2">
      <c r="A141" s="15" t="s">
        <v>242</v>
      </c>
      <c r="B141" s="15"/>
      <c r="D141" s="15"/>
      <c r="E141" s="15"/>
      <c r="F141" s="15"/>
      <c r="G141" s="16">
        <v>45809</v>
      </c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1:16" x14ac:dyDescent="0.2">
      <c r="A142" s="15" t="s">
        <v>241</v>
      </c>
      <c r="B142" s="15"/>
      <c r="D142" s="15"/>
      <c r="E142" s="15"/>
      <c r="F142" s="15"/>
      <c r="G142" s="16">
        <v>45809</v>
      </c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1:16" x14ac:dyDescent="0.2">
      <c r="A143" s="15" t="s">
        <v>217</v>
      </c>
      <c r="B143" s="15"/>
      <c r="D143" s="15"/>
      <c r="E143" s="15"/>
      <c r="F143" s="15"/>
      <c r="G143" s="16">
        <v>45809</v>
      </c>
      <c r="H143" s="17"/>
      <c r="I143" s="17"/>
      <c r="J143" s="17"/>
      <c r="K143" s="17"/>
      <c r="L143" s="17"/>
      <c r="M143" s="17"/>
      <c r="N143" s="17"/>
      <c r="O143" s="17"/>
      <c r="P143" s="17"/>
    </row>
    <row r="144" spans="1:16" x14ac:dyDescent="0.2">
      <c r="A144" s="15" t="s">
        <v>239</v>
      </c>
      <c r="B144" s="15"/>
      <c r="D144" s="15"/>
      <c r="E144" s="15"/>
      <c r="F144" s="15"/>
      <c r="G144" s="16">
        <v>45809</v>
      </c>
      <c r="H144" s="17"/>
      <c r="I144" s="17"/>
      <c r="J144" s="17"/>
      <c r="K144" s="17"/>
      <c r="L144" s="17"/>
      <c r="M144" s="17"/>
      <c r="N144" s="17"/>
      <c r="O144" s="17"/>
      <c r="P144" s="17"/>
    </row>
    <row r="145" spans="1:16" x14ac:dyDescent="0.2">
      <c r="A145" s="15" t="s">
        <v>245</v>
      </c>
      <c r="B145" s="15"/>
      <c r="D145" s="15"/>
      <c r="E145" s="15"/>
      <c r="F145" s="15"/>
      <c r="G145" s="16">
        <v>45809</v>
      </c>
      <c r="H145" s="17"/>
      <c r="I145" s="17"/>
      <c r="J145" s="17"/>
      <c r="K145" s="17"/>
      <c r="L145" s="17"/>
      <c r="M145" s="17"/>
      <c r="N145" s="17"/>
      <c r="O145" s="17"/>
      <c r="P145" s="17"/>
    </row>
    <row r="146" spans="1:16" x14ac:dyDescent="0.2">
      <c r="A146" s="15" t="s">
        <v>220</v>
      </c>
      <c r="B146" s="15"/>
      <c r="D146" s="15"/>
      <c r="E146" s="15"/>
      <c r="F146" s="15"/>
      <c r="G146" s="16">
        <v>45809</v>
      </c>
      <c r="H146" s="17"/>
      <c r="I146" s="17"/>
      <c r="J146" s="17"/>
      <c r="K146" s="17"/>
      <c r="L146" s="17"/>
      <c r="M146" s="17"/>
      <c r="N146" s="17"/>
      <c r="O146" s="17"/>
      <c r="P146" s="17"/>
    </row>
    <row r="147" spans="1:16" x14ac:dyDescent="0.2">
      <c r="A147" s="15" t="s">
        <v>255</v>
      </c>
      <c r="B147" s="15"/>
      <c r="D147" s="15"/>
      <c r="E147" s="15"/>
      <c r="F147" s="15"/>
      <c r="G147" s="16">
        <v>45809</v>
      </c>
      <c r="H147" s="17"/>
      <c r="I147" s="17"/>
      <c r="J147" s="17"/>
      <c r="K147" s="17"/>
      <c r="L147" s="17"/>
      <c r="M147" s="17"/>
      <c r="N147" s="17"/>
      <c r="O147" s="17"/>
      <c r="P147" s="17"/>
    </row>
    <row r="148" spans="1:16" x14ac:dyDescent="0.2">
      <c r="A148" s="15" t="s">
        <v>244</v>
      </c>
      <c r="B148" s="15"/>
      <c r="D148" s="15"/>
      <c r="E148" s="15"/>
      <c r="F148" s="15"/>
      <c r="G148" s="16">
        <v>45809</v>
      </c>
      <c r="H148" s="17"/>
      <c r="I148" s="17"/>
      <c r="J148" s="17"/>
      <c r="K148" s="17"/>
      <c r="L148" s="17"/>
      <c r="M148" s="17"/>
      <c r="N148" s="17"/>
      <c r="O148" s="17"/>
      <c r="P148" s="17"/>
    </row>
    <row r="149" spans="1:16" x14ac:dyDescent="0.2">
      <c r="A149" s="15" t="s">
        <v>273</v>
      </c>
      <c r="B149" s="15"/>
      <c r="D149" s="15"/>
      <c r="E149" s="15"/>
      <c r="F149" s="15"/>
      <c r="G149" s="16">
        <v>45809</v>
      </c>
      <c r="H149" s="17"/>
      <c r="I149" s="17"/>
      <c r="J149" s="17"/>
      <c r="K149" s="17"/>
      <c r="L149" s="17"/>
      <c r="M149" s="17"/>
      <c r="N149" s="17"/>
      <c r="O149" s="17"/>
      <c r="P149" s="17"/>
    </row>
    <row r="150" spans="1:16" x14ac:dyDescent="0.2">
      <c r="A150" s="15" t="s">
        <v>263</v>
      </c>
      <c r="B150" s="15"/>
      <c r="D150" s="15"/>
      <c r="E150" s="15"/>
      <c r="F150" s="15"/>
      <c r="G150" s="16">
        <v>45809</v>
      </c>
      <c r="H150" s="17"/>
      <c r="I150" s="17"/>
      <c r="J150" s="17"/>
      <c r="K150" s="17"/>
      <c r="L150" s="17"/>
      <c r="M150" s="17"/>
      <c r="N150" s="17"/>
      <c r="O150" s="17"/>
      <c r="P150" s="17"/>
    </row>
    <row r="151" spans="1:16" x14ac:dyDescent="0.2">
      <c r="A151" s="15" t="s">
        <v>246</v>
      </c>
      <c r="B151" s="15"/>
      <c r="D151" s="15"/>
      <c r="E151" s="15"/>
      <c r="F151" s="15"/>
      <c r="G151" s="16">
        <v>45809</v>
      </c>
      <c r="H151" s="17"/>
      <c r="I151" s="17"/>
      <c r="J151" s="17"/>
      <c r="K151" s="17"/>
      <c r="L151" s="17"/>
      <c r="M151" s="17"/>
      <c r="N151" s="17"/>
      <c r="O151" s="17"/>
      <c r="P151" s="17"/>
    </row>
    <row r="152" spans="1:16" x14ac:dyDescent="0.2">
      <c r="A152" s="15" t="s">
        <v>262</v>
      </c>
      <c r="B152" s="15"/>
      <c r="D152" s="15"/>
      <c r="E152" s="15"/>
      <c r="F152" s="15"/>
      <c r="G152" s="16">
        <v>45809</v>
      </c>
      <c r="H152" s="17"/>
      <c r="I152" s="17"/>
      <c r="J152" s="17"/>
      <c r="K152" s="17"/>
      <c r="L152" s="17"/>
      <c r="M152" s="17"/>
      <c r="N152" s="17"/>
      <c r="O152" s="17"/>
      <c r="P152" s="17"/>
    </row>
    <row r="153" spans="1:16" x14ac:dyDescent="0.2">
      <c r="A153" s="15" t="s">
        <v>221</v>
      </c>
      <c r="B153" s="15"/>
      <c r="D153" s="15"/>
      <c r="E153" s="15"/>
      <c r="F153" s="15"/>
      <c r="G153" s="16">
        <v>45809</v>
      </c>
      <c r="H153" s="17"/>
      <c r="I153" s="17"/>
      <c r="J153" s="17"/>
      <c r="K153" s="17"/>
      <c r="L153" s="17"/>
      <c r="M153" s="17"/>
      <c r="N153" s="17"/>
      <c r="O153" s="17"/>
      <c r="P153" s="17"/>
    </row>
    <row r="154" spans="1:16" x14ac:dyDescent="0.2">
      <c r="A154" s="15" t="s">
        <v>258</v>
      </c>
      <c r="B154" s="15"/>
      <c r="D154" s="15"/>
      <c r="E154" s="15"/>
      <c r="F154" s="15"/>
      <c r="G154" s="16">
        <v>45809</v>
      </c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16" x14ac:dyDescent="0.2">
      <c r="A155" s="15" t="s">
        <v>257</v>
      </c>
      <c r="B155" s="15"/>
      <c r="D155" s="15"/>
      <c r="E155" s="15"/>
      <c r="F155" s="15"/>
      <c r="G155" s="16">
        <v>45809</v>
      </c>
      <c r="H155" s="17"/>
      <c r="I155" s="17"/>
      <c r="J155" s="17"/>
      <c r="K155" s="17"/>
      <c r="L155" s="17"/>
      <c r="M155" s="17"/>
      <c r="N155" s="17"/>
      <c r="O155" s="17"/>
      <c r="P155" s="17"/>
    </row>
    <row r="156" spans="1:16" x14ac:dyDescent="0.2">
      <c r="A156" s="15" t="s">
        <v>247</v>
      </c>
      <c r="B156" s="15"/>
      <c r="D156" s="15"/>
      <c r="E156" s="15"/>
      <c r="F156" s="15"/>
      <c r="G156" s="16">
        <v>45809</v>
      </c>
      <c r="H156" s="17"/>
      <c r="I156" s="17"/>
      <c r="J156" s="17"/>
      <c r="K156" s="17"/>
      <c r="L156" s="17"/>
      <c r="M156" s="17"/>
      <c r="N156" s="17"/>
      <c r="O156" s="17"/>
      <c r="P156" s="17"/>
    </row>
    <row r="157" spans="1:16" x14ac:dyDescent="0.2">
      <c r="A157" s="15" t="s">
        <v>248</v>
      </c>
      <c r="B157" s="15"/>
      <c r="D157" s="15"/>
      <c r="E157" s="15"/>
      <c r="F157" s="15"/>
      <c r="G157" s="16">
        <v>45809</v>
      </c>
      <c r="H157" s="17"/>
      <c r="I157" s="17"/>
      <c r="J157" s="17"/>
      <c r="K157" s="17"/>
      <c r="L157" s="17"/>
      <c r="M157" s="17"/>
      <c r="N157" s="17"/>
      <c r="O157" s="17"/>
      <c r="P157" s="17"/>
    </row>
    <row r="158" spans="1:16" x14ac:dyDescent="0.2">
      <c r="A158" s="15" t="s">
        <v>250</v>
      </c>
      <c r="B158" s="15"/>
      <c r="D158" s="15"/>
      <c r="E158" s="15"/>
      <c r="F158" s="15"/>
      <c r="G158" s="16">
        <v>45809</v>
      </c>
      <c r="H158" s="17"/>
      <c r="I158" s="17"/>
      <c r="J158" s="17"/>
      <c r="K158" s="17"/>
      <c r="L158" s="17"/>
      <c r="M158" s="17"/>
      <c r="N158" s="17"/>
      <c r="O158" s="17"/>
      <c r="P158" s="17"/>
    </row>
    <row r="159" spans="1:16" x14ac:dyDescent="0.2">
      <c r="A159" s="15" t="s">
        <v>249</v>
      </c>
      <c r="B159" s="15"/>
      <c r="D159" s="15"/>
      <c r="E159" s="15"/>
      <c r="F159" s="15"/>
      <c r="G159" s="16">
        <v>45809</v>
      </c>
      <c r="H159" s="17"/>
      <c r="I159" s="17"/>
      <c r="J159" s="17"/>
      <c r="K159" s="17"/>
      <c r="L159" s="17"/>
      <c r="M159" s="17"/>
      <c r="N159" s="17"/>
      <c r="O159" s="17"/>
      <c r="P159" s="17"/>
    </row>
    <row r="160" spans="1:16" x14ac:dyDescent="0.2">
      <c r="A160" s="15" t="s">
        <v>259</v>
      </c>
      <c r="B160" s="15"/>
      <c r="D160" s="15"/>
      <c r="E160" s="15"/>
      <c r="F160" s="15"/>
      <c r="G160" s="16">
        <v>45809</v>
      </c>
      <c r="H160" s="17"/>
      <c r="I160" s="17"/>
      <c r="J160" s="17"/>
      <c r="K160" s="17"/>
      <c r="L160" s="17"/>
      <c r="M160" s="17"/>
      <c r="N160" s="17"/>
      <c r="O160" s="17"/>
      <c r="P160" s="17"/>
    </row>
    <row r="161" spans="1:16" x14ac:dyDescent="0.2">
      <c r="A161" s="15" t="s">
        <v>260</v>
      </c>
      <c r="B161" s="15"/>
      <c r="D161" s="15"/>
      <c r="E161" s="15"/>
      <c r="F161" s="15"/>
      <c r="G161" s="16">
        <v>45809</v>
      </c>
      <c r="H161" s="17"/>
      <c r="I161" s="17"/>
      <c r="J161" s="17"/>
      <c r="K161" s="17"/>
      <c r="L161" s="17"/>
      <c r="M161" s="17"/>
      <c r="N161" s="17"/>
      <c r="O161" s="17"/>
      <c r="P161" s="17"/>
    </row>
    <row r="162" spans="1:16" x14ac:dyDescent="0.2">
      <c r="A162" s="15" t="s">
        <v>253</v>
      </c>
      <c r="B162" s="15"/>
      <c r="D162" s="15"/>
      <c r="E162" s="15"/>
      <c r="F162" s="15"/>
      <c r="G162" s="16">
        <v>45809</v>
      </c>
      <c r="H162" s="17"/>
      <c r="I162" s="17"/>
      <c r="J162" s="17"/>
      <c r="K162" s="17"/>
      <c r="L162" s="17"/>
      <c r="M162" s="17"/>
      <c r="N162" s="17"/>
      <c r="O162" s="17"/>
      <c r="P162" s="17"/>
    </row>
    <row r="163" spans="1:16" x14ac:dyDescent="0.2">
      <c r="A163" s="15" t="s">
        <v>206</v>
      </c>
      <c r="B163" s="15"/>
      <c r="D163" s="15"/>
      <c r="E163" s="15"/>
      <c r="F163" s="15"/>
      <c r="G163" s="16">
        <v>45809</v>
      </c>
      <c r="H163" s="17"/>
      <c r="I163" s="17"/>
      <c r="J163" s="17"/>
      <c r="K163" s="17"/>
      <c r="L163" s="17"/>
      <c r="M163" s="17"/>
      <c r="N163" s="17"/>
      <c r="O163" s="17"/>
      <c r="P163" s="17"/>
    </row>
    <row r="164" spans="1:16" x14ac:dyDescent="0.2">
      <c r="A164" s="15" t="s">
        <v>219</v>
      </c>
      <c r="B164" s="15"/>
      <c r="D164" s="15"/>
      <c r="E164" s="15"/>
      <c r="F164" s="15"/>
      <c r="G164" s="16">
        <v>45809</v>
      </c>
      <c r="H164" s="17"/>
      <c r="I164" s="17"/>
      <c r="J164" s="17"/>
      <c r="K164" s="17"/>
      <c r="L164" s="17"/>
      <c r="M164" s="17"/>
      <c r="N164" s="17"/>
      <c r="O164" s="17"/>
      <c r="P164" s="17"/>
    </row>
    <row r="165" spans="1:16" x14ac:dyDescent="0.2">
      <c r="A165" s="15" t="s">
        <v>256</v>
      </c>
      <c r="B165" s="15"/>
      <c r="D165" s="15"/>
      <c r="E165" s="15"/>
      <c r="F165" s="15"/>
      <c r="G165" s="16">
        <v>45809</v>
      </c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 x14ac:dyDescent="0.2">
      <c r="A166" s="15" t="s">
        <v>264</v>
      </c>
      <c r="B166" s="15"/>
      <c r="D166" s="15"/>
      <c r="E166" s="15"/>
      <c r="F166" s="15"/>
      <c r="G166" s="16">
        <v>45809</v>
      </c>
      <c r="H166" s="17"/>
      <c r="I166" s="17"/>
      <c r="J166" s="17"/>
      <c r="K166" s="17"/>
      <c r="L166" s="17"/>
      <c r="M166" s="17"/>
      <c r="N166" s="17"/>
      <c r="O166" s="17"/>
      <c r="P166" s="17"/>
    </row>
    <row r="167" spans="1:16" x14ac:dyDescent="0.2">
      <c r="A167" s="15" t="s">
        <v>265</v>
      </c>
      <c r="B167" s="15"/>
      <c r="D167" s="15"/>
      <c r="E167" s="15"/>
      <c r="F167" s="15"/>
      <c r="G167" s="16">
        <v>45809</v>
      </c>
      <c r="H167" s="17"/>
      <c r="I167" s="17"/>
      <c r="J167" s="17"/>
      <c r="K167" s="17"/>
      <c r="L167" s="17"/>
      <c r="M167" s="17"/>
      <c r="N167" s="17"/>
      <c r="O167" s="17"/>
      <c r="P167" s="17"/>
    </row>
    <row r="168" spans="1:16" x14ac:dyDescent="0.2">
      <c r="A168" s="15" t="s">
        <v>266</v>
      </c>
      <c r="B168" s="15"/>
      <c r="D168" s="15"/>
      <c r="E168" s="15"/>
      <c r="F168" s="15"/>
      <c r="G168" s="16">
        <v>45809</v>
      </c>
      <c r="H168" s="17"/>
      <c r="I168" s="17"/>
      <c r="J168" s="17"/>
      <c r="K168" s="17"/>
      <c r="L168" s="17"/>
      <c r="M168" s="17"/>
      <c r="N168" s="17"/>
      <c r="O168" s="17"/>
      <c r="P168" s="17"/>
    </row>
    <row r="169" spans="1:16" x14ac:dyDescent="0.2">
      <c r="A169" s="15" t="s">
        <v>268</v>
      </c>
      <c r="B169" s="15"/>
      <c r="D169" s="15"/>
      <c r="E169" s="15"/>
      <c r="F169" s="15"/>
      <c r="G169" s="16">
        <v>45809</v>
      </c>
      <c r="H169" s="17"/>
      <c r="I169" s="17"/>
      <c r="J169" s="17"/>
      <c r="K169" s="17"/>
      <c r="L169" s="17"/>
      <c r="M169" s="17"/>
      <c r="N169" s="17"/>
      <c r="O169" s="17"/>
      <c r="P169" s="17"/>
    </row>
    <row r="170" spans="1:16" x14ac:dyDescent="0.2">
      <c r="A170" s="15" t="s">
        <v>270</v>
      </c>
      <c r="B170" s="15"/>
      <c r="D170" s="15"/>
      <c r="E170" s="15"/>
      <c r="F170" s="15"/>
      <c r="G170" s="16">
        <v>45809</v>
      </c>
      <c r="H170" s="17"/>
      <c r="I170" s="17"/>
      <c r="J170" s="17"/>
      <c r="K170" s="17"/>
      <c r="L170" s="17"/>
      <c r="M170" s="17"/>
      <c r="N170" s="17"/>
      <c r="O170" s="17"/>
      <c r="P170" s="17"/>
    </row>
    <row r="171" spans="1:16" x14ac:dyDescent="0.2">
      <c r="A171" s="15" t="s">
        <v>271</v>
      </c>
      <c r="B171" s="15"/>
      <c r="D171" s="15"/>
      <c r="E171" s="15"/>
      <c r="F171" s="15"/>
      <c r="G171" s="16">
        <v>45809</v>
      </c>
      <c r="H171" s="17"/>
      <c r="I171" s="17"/>
      <c r="J171" s="17"/>
      <c r="K171" s="17"/>
      <c r="L171" s="17"/>
      <c r="M171" s="17"/>
      <c r="N171" s="17"/>
      <c r="O171" s="17"/>
      <c r="P171" s="17"/>
    </row>
    <row r="172" spans="1:16" x14ac:dyDescent="0.2">
      <c r="A172" s="15" t="s">
        <v>267</v>
      </c>
      <c r="B172" s="15"/>
      <c r="D172" s="15"/>
      <c r="E172" s="15"/>
      <c r="F172" s="15"/>
      <c r="G172" s="16">
        <v>45809</v>
      </c>
      <c r="H172" s="17"/>
      <c r="I172" s="17"/>
      <c r="J172" s="17"/>
      <c r="K172" s="17"/>
      <c r="L172" s="17"/>
      <c r="M172" s="17"/>
      <c r="N172" s="17"/>
      <c r="O172" s="17"/>
      <c r="P172" s="17"/>
    </row>
    <row r="173" spans="1:16" x14ac:dyDescent="0.2">
      <c r="A173" s="15" t="s">
        <v>272</v>
      </c>
      <c r="B173" s="15"/>
      <c r="D173" s="15"/>
      <c r="E173" s="15"/>
      <c r="F173" s="15"/>
      <c r="G173" s="16">
        <v>45809</v>
      </c>
      <c r="H173" s="17"/>
      <c r="I173" s="17"/>
      <c r="J173" s="17"/>
      <c r="K173" s="17"/>
      <c r="L173" s="17"/>
      <c r="M173" s="17"/>
      <c r="N173" s="17"/>
      <c r="O173" s="17"/>
      <c r="P173" s="17"/>
    </row>
    <row r="174" spans="1:16" x14ac:dyDescent="0.2">
      <c r="A174" s="15" t="s">
        <v>274</v>
      </c>
      <c r="B174" s="15"/>
      <c r="D174" s="15"/>
      <c r="E174" s="17"/>
      <c r="F174" s="17"/>
      <c r="G174" s="16">
        <v>45809</v>
      </c>
      <c r="H174" s="17"/>
      <c r="I174" s="17"/>
      <c r="J174" s="17"/>
      <c r="K174" s="17"/>
      <c r="L174" s="17"/>
      <c r="M174" s="17"/>
      <c r="N174" s="17"/>
      <c r="O174" s="17"/>
      <c r="P174" s="17"/>
    </row>
    <row r="175" spans="1:16" x14ac:dyDescent="0.2">
      <c r="A175" s="15" t="s">
        <v>278</v>
      </c>
      <c r="B175" s="15"/>
      <c r="D175" s="15"/>
      <c r="E175" s="17"/>
      <c r="F175" s="17"/>
      <c r="G175" s="16">
        <v>45809</v>
      </c>
      <c r="H175" s="17"/>
      <c r="I175" s="17"/>
      <c r="J175" s="17"/>
      <c r="K175" s="17"/>
      <c r="L175" s="17"/>
      <c r="M175" s="17"/>
      <c r="N175" s="17"/>
      <c r="O175" s="17"/>
      <c r="P175" s="17"/>
    </row>
    <row r="176" spans="1:16" x14ac:dyDescent="0.2">
      <c r="A176" s="15" t="s">
        <v>290</v>
      </c>
      <c r="B176" s="15"/>
      <c r="D176" s="15"/>
      <c r="E176" s="17"/>
      <c r="F176" s="17"/>
      <c r="G176" s="16">
        <v>45809</v>
      </c>
      <c r="H176" s="17"/>
      <c r="I176" s="17"/>
      <c r="J176" s="17"/>
      <c r="K176" s="17"/>
      <c r="L176" s="17"/>
      <c r="M176" s="17"/>
      <c r="N176" s="17"/>
      <c r="O176" s="17"/>
      <c r="P176" s="17"/>
    </row>
    <row r="177" spans="1:16" x14ac:dyDescent="0.2">
      <c r="A177" s="15" t="s">
        <v>291</v>
      </c>
      <c r="B177" s="15"/>
      <c r="D177" s="15"/>
      <c r="E177" s="17"/>
      <c r="F177" s="17"/>
      <c r="G177" s="16">
        <v>45809</v>
      </c>
      <c r="H177" s="17"/>
      <c r="I177" s="17"/>
      <c r="J177" s="17"/>
      <c r="K177" s="17"/>
      <c r="L177" s="17"/>
      <c r="M177" s="17"/>
      <c r="N177" s="17"/>
      <c r="O177" s="17"/>
      <c r="P177" s="17"/>
    </row>
    <row r="178" spans="1:16" x14ac:dyDescent="0.2">
      <c r="A178" s="15" t="s">
        <v>292</v>
      </c>
      <c r="B178" s="15"/>
      <c r="D178" s="15"/>
      <c r="E178" s="17"/>
      <c r="F178" s="17"/>
      <c r="G178" s="16">
        <v>45809</v>
      </c>
      <c r="H178" s="17"/>
      <c r="I178" s="17"/>
      <c r="J178" s="17"/>
      <c r="K178" s="17"/>
      <c r="L178" s="17"/>
      <c r="M178" s="17"/>
      <c r="N178" s="17"/>
      <c r="O178" s="17"/>
      <c r="P178" s="17"/>
    </row>
    <row r="179" spans="1:16" x14ac:dyDescent="0.2">
      <c r="A179" s="15" t="s">
        <v>280</v>
      </c>
      <c r="B179" s="15"/>
      <c r="D179" s="15"/>
      <c r="E179" s="17"/>
      <c r="F179" s="17"/>
      <c r="G179" s="16">
        <v>45809</v>
      </c>
      <c r="H179" s="17"/>
      <c r="I179" s="17"/>
      <c r="J179" s="17"/>
      <c r="K179" s="17"/>
      <c r="L179" s="17"/>
      <c r="M179" s="17"/>
      <c r="N179" s="17"/>
      <c r="O179" s="17"/>
      <c r="P179" s="17"/>
    </row>
    <row r="180" spans="1:16" x14ac:dyDescent="0.2">
      <c r="A180" s="15" t="s">
        <v>283</v>
      </c>
      <c r="B180" s="15"/>
      <c r="D180" s="15"/>
      <c r="E180" s="17"/>
      <c r="F180" s="17"/>
      <c r="G180" s="16">
        <v>45809</v>
      </c>
      <c r="H180" s="17"/>
      <c r="I180" s="17"/>
      <c r="J180" s="17"/>
      <c r="K180" s="17"/>
      <c r="L180" s="17"/>
      <c r="M180" s="17"/>
      <c r="N180" s="17"/>
      <c r="O180" s="17"/>
      <c r="P180" s="17"/>
    </row>
    <row r="181" spans="1:16" x14ac:dyDescent="0.2">
      <c r="A181" s="15" t="s">
        <v>281</v>
      </c>
      <c r="B181" s="15"/>
      <c r="D181" s="15"/>
      <c r="E181" s="17"/>
      <c r="F181" s="17"/>
      <c r="G181" s="16">
        <v>45809</v>
      </c>
      <c r="H181" s="17"/>
      <c r="I181" s="17"/>
      <c r="J181" s="17"/>
      <c r="K181" s="17"/>
      <c r="L181" s="17"/>
      <c r="M181" s="17"/>
      <c r="N181" s="17"/>
      <c r="O181" s="17"/>
      <c r="P181" s="17"/>
    </row>
    <row r="182" spans="1:16" x14ac:dyDescent="0.2">
      <c r="A182" s="15" t="s">
        <v>289</v>
      </c>
      <c r="B182" s="15"/>
      <c r="D182" s="15"/>
      <c r="E182" s="17"/>
      <c r="F182" s="17"/>
      <c r="G182" s="16">
        <v>45809</v>
      </c>
      <c r="H182" s="17"/>
      <c r="I182" s="17"/>
      <c r="J182" s="17"/>
      <c r="K182" s="17"/>
      <c r="L182" s="17"/>
      <c r="M182" s="17"/>
      <c r="N182" s="17"/>
      <c r="O182" s="17"/>
      <c r="P182" s="17"/>
    </row>
    <row r="183" spans="1:16" x14ac:dyDescent="0.2">
      <c r="A183" s="15" t="s">
        <v>293</v>
      </c>
      <c r="B183" s="15"/>
      <c r="D183" s="15"/>
      <c r="E183" s="17"/>
      <c r="F183" s="17"/>
      <c r="G183" s="16">
        <v>45809</v>
      </c>
      <c r="H183" s="17"/>
      <c r="I183" s="17"/>
      <c r="J183" s="17"/>
      <c r="K183" s="17"/>
      <c r="L183" s="17"/>
      <c r="M183" s="17"/>
      <c r="N183" s="17"/>
      <c r="O183" s="17"/>
      <c r="P183" s="17"/>
    </row>
    <row r="184" spans="1:16" x14ac:dyDescent="0.2">
      <c r="A184" s="15" t="s">
        <v>275</v>
      </c>
      <c r="B184" s="15"/>
      <c r="D184" s="15"/>
      <c r="E184" s="17"/>
      <c r="F184" s="17"/>
      <c r="G184" s="16">
        <v>45809</v>
      </c>
      <c r="H184" s="17"/>
      <c r="I184" s="17"/>
      <c r="J184" s="17"/>
      <c r="K184" s="17"/>
      <c r="L184" s="17"/>
      <c r="M184" s="17"/>
      <c r="N184" s="17"/>
      <c r="O184" s="17"/>
      <c r="P184" s="17"/>
    </row>
    <row r="185" spans="1:16" x14ac:dyDescent="0.2">
      <c r="A185" s="15" t="s">
        <v>294</v>
      </c>
      <c r="B185" s="15"/>
      <c r="D185" s="15"/>
      <c r="E185" s="17"/>
      <c r="F185" s="17"/>
      <c r="G185" s="16">
        <v>45809</v>
      </c>
      <c r="H185" s="17"/>
      <c r="I185" s="17"/>
      <c r="J185" s="17"/>
      <c r="K185" s="17"/>
      <c r="L185" s="17"/>
      <c r="M185" s="17"/>
      <c r="N185" s="17"/>
      <c r="O185" s="17"/>
      <c r="P185" s="17"/>
    </row>
    <row r="186" spans="1:16" x14ac:dyDescent="0.2">
      <c r="A186" s="15" t="s">
        <v>285</v>
      </c>
      <c r="B186" s="15"/>
      <c r="D186" s="15"/>
      <c r="E186" s="17"/>
      <c r="F186" s="17"/>
      <c r="G186" s="16">
        <v>45809</v>
      </c>
      <c r="H186" s="17"/>
      <c r="I186" s="17"/>
      <c r="J186" s="17"/>
      <c r="K186" s="17"/>
      <c r="L186" s="17"/>
      <c r="M186" s="17"/>
      <c r="N186" s="17"/>
      <c r="O186" s="17"/>
      <c r="P186" s="17"/>
    </row>
    <row r="187" spans="1:16" x14ac:dyDescent="0.2">
      <c r="A187" s="15" t="s">
        <v>287</v>
      </c>
      <c r="B187" s="15"/>
      <c r="D187" s="15"/>
      <c r="E187" s="17"/>
      <c r="F187" s="17"/>
      <c r="G187" s="16">
        <v>45809</v>
      </c>
      <c r="H187" s="17"/>
      <c r="I187" s="17"/>
      <c r="J187" s="17"/>
      <c r="K187" s="17"/>
      <c r="L187" s="17"/>
      <c r="M187" s="17"/>
      <c r="N187" s="17"/>
      <c r="O187" s="17"/>
      <c r="P187" s="17"/>
    </row>
    <row r="188" spans="1:16" x14ac:dyDescent="0.2">
      <c r="A188" s="15" t="s">
        <v>296</v>
      </c>
      <c r="B188" s="15"/>
      <c r="D188" s="15"/>
      <c r="E188" s="17"/>
      <c r="F188" s="17"/>
      <c r="G188" s="16">
        <v>45809</v>
      </c>
      <c r="H188" s="17"/>
      <c r="I188" s="17"/>
      <c r="J188" s="17"/>
      <c r="K188" s="17"/>
      <c r="L188" s="17"/>
      <c r="M188" s="17"/>
      <c r="N188" s="17"/>
      <c r="O188" s="17"/>
      <c r="P188" s="17"/>
    </row>
    <row r="189" spans="1:16" x14ac:dyDescent="0.2">
      <c r="A189" s="15" t="s">
        <v>295</v>
      </c>
      <c r="B189" s="15"/>
      <c r="D189" s="15"/>
      <c r="E189" s="17"/>
      <c r="F189" s="17"/>
      <c r="G189" s="16">
        <v>45809</v>
      </c>
      <c r="H189" s="17"/>
      <c r="I189" s="17"/>
      <c r="J189" s="17"/>
      <c r="K189" s="17"/>
      <c r="L189" s="17"/>
      <c r="M189" s="17"/>
      <c r="N189" s="17"/>
      <c r="O189" s="17"/>
      <c r="P189" s="17"/>
    </row>
    <row r="190" spans="1:16" x14ac:dyDescent="0.2">
      <c r="A190" s="15" t="s">
        <v>286</v>
      </c>
      <c r="B190" s="15"/>
      <c r="D190" s="15"/>
      <c r="E190" s="17"/>
      <c r="F190" s="17"/>
      <c r="G190" s="16">
        <v>45809</v>
      </c>
      <c r="H190" s="17"/>
      <c r="I190" s="17"/>
      <c r="J190" s="17"/>
      <c r="K190" s="17"/>
      <c r="L190" s="17"/>
      <c r="M190" s="17"/>
      <c r="N190" s="17"/>
      <c r="O190" s="17"/>
      <c r="P190" s="17"/>
    </row>
    <row r="191" spans="1:16" x14ac:dyDescent="0.2">
      <c r="A191" s="15" t="s">
        <v>299</v>
      </c>
      <c r="B191" s="15"/>
      <c r="D191" s="15"/>
      <c r="E191" s="17"/>
      <c r="F191" s="17"/>
      <c r="G191" s="16">
        <v>45809</v>
      </c>
      <c r="H191" s="17"/>
      <c r="I191" s="17"/>
      <c r="J191" s="17"/>
      <c r="K191" s="17"/>
      <c r="L191" s="17"/>
      <c r="M191" s="17"/>
      <c r="N191" s="17"/>
      <c r="O191" s="17"/>
      <c r="P191" s="17"/>
    </row>
    <row r="192" spans="1:16" x14ac:dyDescent="0.2">
      <c r="A192" s="15" t="s">
        <v>297</v>
      </c>
      <c r="B192" s="15"/>
      <c r="D192" s="15"/>
      <c r="E192" s="17"/>
      <c r="F192" s="17"/>
      <c r="G192" s="16">
        <v>45809</v>
      </c>
      <c r="H192" s="17"/>
      <c r="I192" s="17"/>
      <c r="J192" s="17"/>
      <c r="K192" s="17"/>
      <c r="L192" s="17"/>
      <c r="M192" s="17"/>
      <c r="N192" s="17"/>
      <c r="O192" s="17"/>
      <c r="P192" s="17"/>
    </row>
    <row r="193" spans="1:16" x14ac:dyDescent="0.2">
      <c r="A193" s="15" t="s">
        <v>298</v>
      </c>
      <c r="B193" s="15"/>
      <c r="D193" s="15"/>
      <c r="E193" s="17"/>
      <c r="F193" s="17"/>
      <c r="G193" s="16">
        <v>45809</v>
      </c>
      <c r="H193" s="17"/>
      <c r="I193" s="17"/>
      <c r="J193" s="17"/>
      <c r="K193" s="17"/>
      <c r="L193" s="17"/>
      <c r="M193" s="17"/>
      <c r="N193" s="17"/>
      <c r="O193" s="17"/>
      <c r="P193" s="17"/>
    </row>
    <row r="194" spans="1:16" x14ac:dyDescent="0.2">
      <c r="A194" s="15" t="s">
        <v>302</v>
      </c>
      <c r="B194" s="15"/>
      <c r="D194" s="15"/>
      <c r="E194" s="17"/>
      <c r="F194" s="17"/>
      <c r="G194" s="16">
        <v>45809</v>
      </c>
      <c r="H194" s="17"/>
      <c r="I194" s="17"/>
      <c r="J194" s="17"/>
      <c r="K194" s="17"/>
      <c r="L194" s="17"/>
      <c r="M194" s="17"/>
      <c r="N194" s="17"/>
      <c r="O194" s="17"/>
      <c r="P194" s="17"/>
    </row>
    <row r="195" spans="1:16" x14ac:dyDescent="0.2">
      <c r="A195" s="15" t="s">
        <v>304</v>
      </c>
      <c r="B195" s="15"/>
      <c r="D195" s="15"/>
      <c r="E195" s="17"/>
      <c r="F195" s="17"/>
      <c r="G195" s="16">
        <v>45809</v>
      </c>
      <c r="H195" s="17"/>
      <c r="I195" s="17"/>
      <c r="J195" s="17"/>
      <c r="K195" s="17"/>
      <c r="L195" s="17"/>
      <c r="M195" s="17"/>
      <c r="N195" s="17"/>
      <c r="O195" s="17"/>
      <c r="P195" s="17"/>
    </row>
    <row r="196" spans="1:16" x14ac:dyDescent="0.2">
      <c r="A196" s="15" t="s">
        <v>303</v>
      </c>
      <c r="B196" s="15"/>
      <c r="D196" s="15"/>
      <c r="E196" s="17"/>
      <c r="F196" s="17"/>
      <c r="G196" s="16">
        <v>45809</v>
      </c>
      <c r="H196" s="17"/>
      <c r="I196" s="17"/>
      <c r="J196" s="17"/>
      <c r="K196" s="17"/>
      <c r="L196" s="17"/>
      <c r="M196" s="17"/>
      <c r="N196" s="17"/>
      <c r="O196" s="17"/>
      <c r="P196" s="17"/>
    </row>
    <row r="197" spans="1:16" x14ac:dyDescent="0.2">
      <c r="A197" s="15" t="s">
        <v>300</v>
      </c>
      <c r="B197" s="15"/>
      <c r="D197" s="15"/>
      <c r="E197" s="17"/>
      <c r="F197" s="17"/>
      <c r="G197" s="16">
        <v>45809</v>
      </c>
      <c r="H197" s="17"/>
      <c r="I197" s="17"/>
      <c r="J197" s="17"/>
      <c r="K197" s="17"/>
      <c r="L197" s="17"/>
      <c r="M197" s="17"/>
      <c r="N197" s="17"/>
      <c r="O197" s="17"/>
      <c r="P197" s="17"/>
    </row>
    <row r="198" spans="1:16" x14ac:dyDescent="0.2">
      <c r="A198" s="15" t="s">
        <v>284</v>
      </c>
      <c r="B198" s="15"/>
      <c r="D198" s="15"/>
      <c r="E198" s="17"/>
      <c r="F198" s="17"/>
      <c r="G198" s="16">
        <v>45809</v>
      </c>
      <c r="H198" s="17"/>
      <c r="I198" s="17"/>
      <c r="J198" s="17"/>
      <c r="K198" s="17"/>
      <c r="L198" s="17"/>
      <c r="M198" s="17"/>
      <c r="N198" s="17"/>
      <c r="O198" s="17"/>
      <c r="P198" s="17"/>
    </row>
    <row r="199" spans="1:16" x14ac:dyDescent="0.2">
      <c r="A199" s="15" t="s">
        <v>320</v>
      </c>
      <c r="B199" s="15"/>
      <c r="D199" s="15"/>
      <c r="E199" s="17"/>
      <c r="F199" s="17"/>
      <c r="G199" s="16">
        <v>45809</v>
      </c>
      <c r="H199" s="17"/>
      <c r="I199" s="17"/>
      <c r="J199" s="17"/>
      <c r="K199" s="17"/>
      <c r="L199" s="17"/>
      <c r="M199" s="17"/>
      <c r="N199" s="17"/>
      <c r="O199" s="17"/>
      <c r="P199" s="17"/>
    </row>
    <row r="200" spans="1:16" x14ac:dyDescent="0.2">
      <c r="A200" s="15" t="s">
        <v>316</v>
      </c>
      <c r="B200" s="15"/>
      <c r="D200" s="15"/>
      <c r="E200" s="17"/>
      <c r="F200" s="17"/>
      <c r="G200" s="16">
        <v>45809</v>
      </c>
      <c r="H200" s="17"/>
      <c r="I200" s="17"/>
      <c r="J200" s="17"/>
      <c r="K200" s="17"/>
      <c r="L200" s="17"/>
      <c r="M200" s="17"/>
      <c r="N200" s="17"/>
      <c r="O200" s="17"/>
      <c r="P200" s="17"/>
    </row>
    <row r="201" spans="1:16" x14ac:dyDescent="0.2">
      <c r="A201" s="15" t="s">
        <v>317</v>
      </c>
      <c r="B201" s="15"/>
      <c r="D201" s="15"/>
      <c r="E201" s="17"/>
      <c r="F201" s="17"/>
      <c r="G201" s="16">
        <v>45809</v>
      </c>
      <c r="H201" s="17"/>
      <c r="I201" s="17"/>
      <c r="J201" s="17"/>
      <c r="K201" s="17"/>
      <c r="L201" s="17"/>
      <c r="M201" s="17"/>
      <c r="N201" s="17"/>
      <c r="O201" s="17"/>
      <c r="P201" s="17"/>
    </row>
    <row r="202" spans="1:16" x14ac:dyDescent="0.2">
      <c r="A202" s="15" t="s">
        <v>318</v>
      </c>
      <c r="B202" s="15"/>
      <c r="D202" s="15"/>
      <c r="E202" s="17"/>
      <c r="F202" s="17"/>
      <c r="G202" s="16">
        <v>45809</v>
      </c>
      <c r="H202" s="17"/>
      <c r="I202" s="17"/>
      <c r="J202" s="17"/>
      <c r="K202" s="17"/>
      <c r="L202" s="17"/>
      <c r="M202" s="17"/>
      <c r="N202" s="17"/>
      <c r="O202" s="17"/>
      <c r="P202" s="17"/>
    </row>
    <row r="203" spans="1:16" x14ac:dyDescent="0.2">
      <c r="A203" s="15" t="s">
        <v>319</v>
      </c>
      <c r="B203" s="15"/>
      <c r="D203" s="15"/>
      <c r="E203" s="17"/>
      <c r="F203" s="17"/>
      <c r="G203" s="16">
        <v>45809</v>
      </c>
      <c r="H203" s="17"/>
      <c r="I203" s="17"/>
      <c r="J203" s="17"/>
      <c r="K203" s="17"/>
      <c r="L203" s="17"/>
      <c r="M203" s="17"/>
      <c r="N203" s="17"/>
      <c r="O203" s="17"/>
      <c r="P203" s="17"/>
    </row>
    <row r="204" spans="1:16" x14ac:dyDescent="0.2">
      <c r="A204" s="15" t="s">
        <v>315</v>
      </c>
      <c r="B204" s="15"/>
      <c r="D204" s="15"/>
      <c r="E204" s="17"/>
      <c r="F204" s="17"/>
      <c r="G204" s="16">
        <v>45809</v>
      </c>
      <c r="H204" s="17"/>
      <c r="I204" s="17"/>
      <c r="J204" s="17"/>
      <c r="K204" s="17"/>
      <c r="L204" s="17"/>
      <c r="M204" s="17"/>
      <c r="N204" s="17"/>
      <c r="O204" s="17"/>
      <c r="P204" s="17"/>
    </row>
    <row r="205" spans="1:16" x14ac:dyDescent="0.2">
      <c r="A205" s="15" t="s">
        <v>322</v>
      </c>
      <c r="B205" s="15"/>
      <c r="D205" s="15"/>
      <c r="E205" s="17"/>
      <c r="F205" s="17"/>
      <c r="G205" s="16">
        <v>45809</v>
      </c>
      <c r="H205" s="17"/>
      <c r="I205" s="17"/>
      <c r="J205" s="17"/>
      <c r="K205" s="17"/>
      <c r="L205" s="17"/>
      <c r="M205" s="17"/>
      <c r="N205" s="17"/>
      <c r="O205" s="17"/>
      <c r="P205" s="17"/>
    </row>
    <row r="206" spans="1:16" x14ac:dyDescent="0.2">
      <c r="A206" s="15" t="s">
        <v>321</v>
      </c>
      <c r="B206" s="15"/>
      <c r="D206" s="15"/>
      <c r="E206" s="17"/>
      <c r="F206" s="17"/>
      <c r="G206" s="16">
        <v>45809</v>
      </c>
      <c r="H206" s="17"/>
      <c r="I206" s="17"/>
      <c r="J206" s="17"/>
      <c r="K206" s="17"/>
      <c r="L206" s="17"/>
      <c r="M206" s="17"/>
      <c r="N206" s="17"/>
      <c r="O206" s="17"/>
      <c r="P206" s="17"/>
    </row>
    <row r="207" spans="1:16" x14ac:dyDescent="0.2">
      <c r="A207" s="15" t="s">
        <v>323</v>
      </c>
      <c r="B207" s="15"/>
      <c r="D207" s="15"/>
      <c r="E207" s="17"/>
      <c r="F207" s="17"/>
      <c r="G207" s="16">
        <v>45809</v>
      </c>
      <c r="H207" s="17"/>
      <c r="I207" s="17"/>
      <c r="J207" s="17"/>
      <c r="K207" s="17"/>
      <c r="L207" s="17"/>
      <c r="M207" s="17"/>
      <c r="N207" s="17"/>
      <c r="O207" s="17"/>
      <c r="P207" s="17"/>
    </row>
    <row r="208" spans="1:16" x14ac:dyDescent="0.2">
      <c r="A208" s="15" t="s">
        <v>325</v>
      </c>
      <c r="B208" s="15"/>
      <c r="D208" s="15"/>
      <c r="E208" s="17"/>
      <c r="F208" s="17"/>
      <c r="G208" s="16">
        <v>45809</v>
      </c>
      <c r="H208" s="17"/>
      <c r="I208" s="17"/>
      <c r="J208" s="17"/>
      <c r="K208" s="17"/>
      <c r="L208" s="17"/>
      <c r="M208" s="17"/>
      <c r="N208" s="17"/>
      <c r="O208" s="17"/>
      <c r="P208" s="17"/>
    </row>
    <row r="209" spans="1:16" x14ac:dyDescent="0.2">
      <c r="A209" s="15" t="s">
        <v>324</v>
      </c>
      <c r="B209" s="15"/>
      <c r="D209" s="15"/>
      <c r="E209" s="17"/>
      <c r="F209" s="17"/>
      <c r="G209" s="16">
        <v>45809</v>
      </c>
      <c r="H209" s="17"/>
      <c r="I209" s="17"/>
      <c r="J209" s="17"/>
      <c r="K209" s="17"/>
      <c r="L209" s="17"/>
      <c r="M209" s="17"/>
      <c r="N209" s="17"/>
      <c r="O209" s="17"/>
      <c r="P209" s="17"/>
    </row>
    <row r="210" spans="1:16" x14ac:dyDescent="0.2">
      <c r="A210" s="15" t="s">
        <v>328</v>
      </c>
      <c r="B210" s="15"/>
      <c r="D210" s="15"/>
      <c r="E210" s="17"/>
      <c r="F210" s="17"/>
      <c r="G210" s="16">
        <v>45809</v>
      </c>
      <c r="H210" s="17"/>
      <c r="I210" s="17"/>
      <c r="J210" s="17"/>
      <c r="K210" s="17"/>
      <c r="L210" s="17"/>
      <c r="M210" s="17"/>
      <c r="N210" s="17"/>
      <c r="O210" s="17"/>
      <c r="P210" s="17"/>
    </row>
    <row r="211" spans="1:16" x14ac:dyDescent="0.2">
      <c r="A211" s="15" t="s">
        <v>330</v>
      </c>
      <c r="B211" s="15"/>
      <c r="D211" s="15"/>
      <c r="E211" s="17"/>
      <c r="F211" s="17"/>
      <c r="G211" s="16">
        <v>45809</v>
      </c>
      <c r="H211" s="17"/>
      <c r="I211" s="17"/>
      <c r="J211" s="17"/>
      <c r="K211" s="17"/>
      <c r="L211" s="17"/>
      <c r="M211" s="17"/>
      <c r="N211" s="17"/>
      <c r="O211" s="17"/>
      <c r="P211" s="17"/>
    </row>
    <row r="212" spans="1:16" x14ac:dyDescent="0.2">
      <c r="A212" s="15" t="s">
        <v>329</v>
      </c>
      <c r="B212" s="15"/>
      <c r="D212" s="15"/>
      <c r="E212" s="17"/>
      <c r="F212" s="17"/>
      <c r="G212" s="16">
        <v>45809</v>
      </c>
      <c r="H212" s="17"/>
      <c r="I212" s="17"/>
      <c r="J212" s="17"/>
      <c r="K212" s="17"/>
      <c r="L212" s="17"/>
      <c r="M212" s="17"/>
      <c r="N212" s="17"/>
      <c r="O212" s="17"/>
      <c r="P212" s="17"/>
    </row>
    <row r="213" spans="1:16" x14ac:dyDescent="0.2">
      <c r="A213" s="15" t="s">
        <v>331</v>
      </c>
      <c r="B213" s="15"/>
      <c r="D213" s="15"/>
      <c r="E213" s="17"/>
      <c r="F213" s="17"/>
      <c r="G213" s="16">
        <v>45809</v>
      </c>
      <c r="H213" s="17"/>
      <c r="I213" s="17"/>
      <c r="J213" s="17"/>
      <c r="K213" s="17"/>
      <c r="L213" s="17"/>
      <c r="M213" s="17"/>
      <c r="N213" s="17"/>
      <c r="O213" s="17"/>
      <c r="P213" s="17"/>
    </row>
    <row r="214" spans="1:16" x14ac:dyDescent="0.2">
      <c r="A214" s="15" t="s">
        <v>332</v>
      </c>
      <c r="B214" s="15"/>
      <c r="D214" s="15"/>
      <c r="E214" s="17"/>
      <c r="F214" s="17"/>
      <c r="G214" s="16">
        <v>45809</v>
      </c>
      <c r="H214" s="17"/>
      <c r="I214" s="17"/>
      <c r="J214" s="17"/>
      <c r="K214" s="17"/>
      <c r="L214" s="17"/>
      <c r="M214" s="17"/>
      <c r="N214" s="17"/>
      <c r="O214" s="17"/>
      <c r="P214" s="17"/>
    </row>
    <row r="215" spans="1:16" x14ac:dyDescent="0.2">
      <c r="A215" s="15" t="s">
        <v>333</v>
      </c>
      <c r="B215" s="15"/>
      <c r="D215" s="15"/>
      <c r="E215" s="17"/>
      <c r="F215" s="17"/>
      <c r="G215" s="16">
        <v>45809</v>
      </c>
      <c r="H215" s="17"/>
      <c r="I215" s="17"/>
      <c r="J215" s="17"/>
      <c r="K215" s="17"/>
      <c r="L215" s="17"/>
      <c r="M215" s="17"/>
      <c r="N215" s="17"/>
      <c r="O215" s="17"/>
      <c r="P215" s="17"/>
    </row>
    <row r="216" spans="1:16" x14ac:dyDescent="0.2">
      <c r="A216" s="15" t="s">
        <v>334</v>
      </c>
      <c r="B216" s="15"/>
      <c r="D216" s="15"/>
      <c r="E216" s="17"/>
      <c r="F216" s="17"/>
      <c r="G216" s="16">
        <v>45809</v>
      </c>
      <c r="H216" s="17"/>
      <c r="I216" s="17"/>
      <c r="J216" s="17"/>
      <c r="K216" s="17"/>
      <c r="L216" s="17"/>
      <c r="M216" s="17"/>
      <c r="N216" s="17"/>
      <c r="O216" s="17"/>
      <c r="P216" s="17"/>
    </row>
    <row r="217" spans="1:16" x14ac:dyDescent="0.2">
      <c r="A217" s="15" t="s">
        <v>326</v>
      </c>
      <c r="B217" s="15"/>
      <c r="D217" s="15"/>
      <c r="E217" s="17"/>
      <c r="F217" s="17"/>
      <c r="G217" s="16">
        <v>45809</v>
      </c>
      <c r="H217" s="17"/>
      <c r="I217" s="17"/>
      <c r="J217" s="17"/>
      <c r="K217" s="17"/>
      <c r="L217" s="17"/>
      <c r="M217" s="17"/>
      <c r="N217" s="17"/>
      <c r="O217" s="17"/>
      <c r="P217" s="17"/>
    </row>
    <row r="218" spans="1:16" x14ac:dyDescent="0.2">
      <c r="A218" s="15" t="s">
        <v>327</v>
      </c>
      <c r="B218" s="15"/>
      <c r="D218" s="15"/>
      <c r="E218" s="17"/>
      <c r="F218" s="17"/>
      <c r="G218" s="16">
        <v>45809</v>
      </c>
      <c r="H218" s="17"/>
      <c r="I218" s="17"/>
      <c r="J218" s="17"/>
      <c r="K218" s="17"/>
      <c r="L218" s="17"/>
      <c r="M218" s="17"/>
      <c r="N218" s="17"/>
      <c r="O218" s="17"/>
      <c r="P218" s="17"/>
    </row>
    <row r="219" spans="1:16" x14ac:dyDescent="0.2">
      <c r="A219" s="15" t="s">
        <v>335</v>
      </c>
      <c r="B219" s="15"/>
      <c r="D219" s="15"/>
      <c r="E219" s="17"/>
      <c r="F219" s="17"/>
      <c r="G219" s="16">
        <v>45809</v>
      </c>
      <c r="H219" s="17"/>
      <c r="I219" s="17"/>
      <c r="J219" s="17"/>
      <c r="K219" s="17"/>
      <c r="L219" s="17"/>
      <c r="M219" s="17"/>
      <c r="N219" s="17"/>
      <c r="O219" s="17"/>
      <c r="P219" s="17"/>
    </row>
  </sheetData>
  <mergeCells count="1">
    <mergeCell ref="H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D694-40CE-884B-B126-3B456713F4F8}">
  <dimension ref="A1:F16"/>
  <sheetViews>
    <sheetView workbookViewId="0">
      <selection activeCell="A16" sqref="A16:B16"/>
    </sheetView>
  </sheetViews>
  <sheetFormatPr baseColWidth="10" defaultColWidth="25" defaultRowHeight="15" x14ac:dyDescent="0.2"/>
  <cols>
    <col min="1" max="1" width="30.6640625" bestFit="1" customWidth="1"/>
    <col min="2" max="2" width="22.33203125" bestFit="1" customWidth="1"/>
    <col min="3" max="3" width="21.5" bestFit="1" customWidth="1"/>
    <col min="4" max="4" width="12.5" bestFit="1" customWidth="1"/>
    <col min="5" max="5" width="21.5" bestFit="1" customWidth="1"/>
    <col min="6" max="6" width="12.5" bestFit="1" customWidth="1"/>
  </cols>
  <sheetData>
    <row r="1" spans="1:6" x14ac:dyDescent="0.2">
      <c r="A1" s="1"/>
      <c r="B1" s="1"/>
      <c r="C1" s="30" t="s">
        <v>346</v>
      </c>
      <c r="D1" s="31"/>
      <c r="E1" s="32">
        <v>2025</v>
      </c>
      <c r="F1" s="32"/>
    </row>
    <row r="2" spans="1:6" x14ac:dyDescent="0.2">
      <c r="A2" s="19" t="s">
        <v>355</v>
      </c>
      <c r="B2" s="19" t="s">
        <v>357</v>
      </c>
      <c r="C2" s="25" t="s">
        <v>347</v>
      </c>
      <c r="D2" s="25" t="s">
        <v>348</v>
      </c>
      <c r="E2" s="19" t="s">
        <v>347</v>
      </c>
      <c r="F2" s="19" t="s">
        <v>348</v>
      </c>
    </row>
    <row r="3" spans="1:6" x14ac:dyDescent="0.2">
      <c r="A3" s="36" t="s">
        <v>349</v>
      </c>
      <c r="B3" s="37"/>
      <c r="C3" s="20">
        <v>1698.35</v>
      </c>
      <c r="D3" s="20">
        <v>1689.1</v>
      </c>
      <c r="E3" s="21">
        <v>1800.760505</v>
      </c>
      <c r="F3" s="21">
        <v>1791.3182564389999</v>
      </c>
    </row>
    <row r="4" spans="1:6" x14ac:dyDescent="0.2">
      <c r="A4" s="36" t="s">
        <v>350</v>
      </c>
      <c r="B4" s="37"/>
      <c r="C4" s="20">
        <v>1778.06</v>
      </c>
      <c r="D4" s="20">
        <v>1768.38</v>
      </c>
      <c r="E4" s="21">
        <v>1885.277018</v>
      </c>
      <c r="F4" s="21">
        <v>1875.3916089403999</v>
      </c>
    </row>
    <row r="5" spans="1:6" x14ac:dyDescent="0.2">
      <c r="A5" s="36" t="s">
        <v>351</v>
      </c>
      <c r="B5" s="37"/>
      <c r="C5" s="20">
        <v>2700.57</v>
      </c>
      <c r="D5" s="20">
        <v>2685.86</v>
      </c>
      <c r="E5" s="21">
        <v>2863.4143709999998</v>
      </c>
      <c r="F5" s="21">
        <v>2848.4001199938002</v>
      </c>
    </row>
    <row r="6" spans="1:6" x14ac:dyDescent="0.2">
      <c r="A6" s="36" t="s">
        <v>352</v>
      </c>
      <c r="B6" s="37"/>
      <c r="C6" s="20">
        <v>141361.97</v>
      </c>
      <c r="D6" s="20">
        <v>140591.82</v>
      </c>
      <c r="E6" s="21">
        <v>149886.09679099999</v>
      </c>
      <c r="F6" s="21">
        <v>149100.17230087001</v>
      </c>
    </row>
    <row r="7" spans="1:6" x14ac:dyDescent="0.2">
      <c r="A7" s="36" t="s">
        <v>353</v>
      </c>
      <c r="B7" s="37"/>
      <c r="C7" s="20">
        <v>177.49</v>
      </c>
      <c r="D7" s="20">
        <v>176.52</v>
      </c>
      <c r="E7" s="21">
        <v>188.19264700000002</v>
      </c>
      <c r="F7" s="21">
        <v>187.20586294660001</v>
      </c>
    </row>
    <row r="8" spans="1:6" x14ac:dyDescent="0.2">
      <c r="A8" s="36" t="s">
        <v>354</v>
      </c>
      <c r="B8" s="37"/>
      <c r="C8" s="20">
        <v>88.21</v>
      </c>
      <c r="D8" s="20">
        <v>87.73</v>
      </c>
      <c r="E8" s="21">
        <v>93.529062999999994</v>
      </c>
      <c r="F8" s="21">
        <v>93.038645391399996</v>
      </c>
    </row>
    <row r="9" spans="1:6" x14ac:dyDescent="0.2">
      <c r="A9" s="22"/>
      <c r="B9" s="22"/>
      <c r="C9" s="23"/>
      <c r="D9" s="23"/>
      <c r="E9" s="1"/>
      <c r="F9" s="1"/>
    </row>
    <row r="10" spans="1:6" x14ac:dyDescent="0.2">
      <c r="A10" s="1"/>
      <c r="B10" s="1"/>
      <c r="C10" s="33" t="s">
        <v>346</v>
      </c>
      <c r="D10" s="34"/>
      <c r="E10" s="35">
        <v>2025</v>
      </c>
      <c r="F10" s="35"/>
    </row>
    <row r="11" spans="1:6" ht="17" customHeight="1" x14ac:dyDescent="0.2">
      <c r="A11" s="24" t="s">
        <v>356</v>
      </c>
      <c r="B11" s="19" t="s">
        <v>357</v>
      </c>
      <c r="C11" s="26" t="s">
        <v>347</v>
      </c>
      <c r="D11" s="26" t="s">
        <v>348</v>
      </c>
      <c r="E11" s="24" t="s">
        <v>347</v>
      </c>
      <c r="F11" s="24" t="s">
        <v>348</v>
      </c>
    </row>
    <row r="12" spans="1:6" x14ac:dyDescent="0.2">
      <c r="A12" s="36" t="s">
        <v>349</v>
      </c>
      <c r="B12" s="37"/>
      <c r="C12" s="20">
        <v>1778.29</v>
      </c>
      <c r="D12" s="20">
        <v>1764.78</v>
      </c>
      <c r="E12" s="21">
        <v>1886.9435189999999</v>
      </c>
      <c r="F12" s="21">
        <v>1876.4801851202999</v>
      </c>
    </row>
    <row r="13" spans="1:6" x14ac:dyDescent="0.2">
      <c r="A13" s="36" t="s">
        <v>350</v>
      </c>
      <c r="B13" s="37"/>
      <c r="C13" s="20">
        <v>1861.89</v>
      </c>
      <c r="D13" s="20">
        <v>1847.74</v>
      </c>
      <c r="E13" s="21">
        <v>1975.6514790000001</v>
      </c>
      <c r="F13" s="21">
        <v>1964.6962485723002</v>
      </c>
    </row>
    <row r="14" spans="1:6" x14ac:dyDescent="0.2">
      <c r="A14" s="36" t="s">
        <v>351</v>
      </c>
      <c r="B14" s="37"/>
      <c r="C14" s="20">
        <v>2828.12</v>
      </c>
      <c r="D14" s="20">
        <v>2806.63</v>
      </c>
      <c r="E14" s="21">
        <v>3000.9181319999998</v>
      </c>
      <c r="F14" s="21">
        <v>2984.2776718883997</v>
      </c>
    </row>
    <row r="15" spans="1:6" x14ac:dyDescent="0.2">
      <c r="A15" s="36" t="s">
        <v>353</v>
      </c>
      <c r="B15" s="37"/>
      <c r="C15" s="20">
        <v>185.65</v>
      </c>
      <c r="D15" s="20">
        <v>184.24</v>
      </c>
      <c r="E15" s="21">
        <v>196.99321500000002</v>
      </c>
      <c r="F15" s="21">
        <v>195.90086339550001</v>
      </c>
    </row>
    <row r="16" spans="1:6" x14ac:dyDescent="0.2">
      <c r="A16" s="36" t="s">
        <v>354</v>
      </c>
      <c r="B16" s="37"/>
      <c r="C16" s="20">
        <v>92.28</v>
      </c>
      <c r="D16" s="20">
        <v>91.58</v>
      </c>
      <c r="E16" s="21">
        <v>97.918307999999996</v>
      </c>
      <c r="F16" s="21">
        <v>97.375338939599999</v>
      </c>
    </row>
  </sheetData>
  <mergeCells count="15">
    <mergeCell ref="A12:B12"/>
    <mergeCell ref="A13:B13"/>
    <mergeCell ref="A14:B14"/>
    <mergeCell ref="A15:B15"/>
    <mergeCell ref="A16:B16"/>
    <mergeCell ref="C1:D1"/>
    <mergeCell ref="E1:F1"/>
    <mergeCell ref="C10:D10"/>
    <mergeCell ref="E10:F10"/>
    <mergeCell ref="A3:B3"/>
    <mergeCell ref="A4:B4"/>
    <mergeCell ref="A6:B6"/>
    <mergeCell ref="A5:B5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 OTs</vt:lpstr>
      <vt:lpstr>Ots para liquidación</vt:lpstr>
      <vt:lpstr>Precios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Derly Katherine Correa Jurado</dc:creator>
  <cp:keywords/>
  <dc:description/>
  <cp:lastModifiedBy>Carlos Andres Mejia Urueña</cp:lastModifiedBy>
  <cp:revision/>
  <dcterms:created xsi:type="dcterms:W3CDTF">2023-12-12T18:27:41Z</dcterms:created>
  <dcterms:modified xsi:type="dcterms:W3CDTF">2026-05-19T14:17:07Z</dcterms:modified>
  <cp:category/>
  <cp:contentStatus/>
</cp:coreProperties>
</file>